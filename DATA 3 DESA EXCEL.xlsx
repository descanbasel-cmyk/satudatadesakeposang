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 PETA\"/>
    </mc:Choice>
  </mc:AlternateContent>
  <xr:revisionPtr revIDLastSave="0" documentId="13_ncr:1_{4A8FBAA0-B0A3-493C-AFDA-133AFF2E3CFF}" xr6:coauthVersionLast="47" xr6:coauthVersionMax="47" xr10:uidLastSave="{00000000-0000-0000-0000-000000000000}"/>
  <bookViews>
    <workbookView xWindow="9510" yWindow="0" windowWidth="9780" windowHeight="11370" activeTab="1" xr2:uid="{00000000-000D-0000-FFFF-FFFF00000000}"/>
  </bookViews>
  <sheets>
    <sheet name="slssubsls1905" sheetId="1" r:id="rId1"/>
    <sheet name="Sheet1" sheetId="2" r:id="rId2"/>
  </sheets>
  <definedNames>
    <definedName name="_xlnm._FilterDatabase" localSheetId="0" hidden="1">slssubsls1905!$A$1:$AJ$55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3" i="2"/>
  <c r="D4" i="2"/>
  <c r="D2" i="2"/>
  <c r="Q3" i="1"/>
  <c r="Q4" i="1"/>
  <c r="Q5" i="1"/>
  <c r="Q6" i="1"/>
  <c r="Q7" i="1"/>
  <c r="Q8" i="1"/>
  <c r="Q9" i="1"/>
  <c r="Q10" i="1"/>
  <c r="Q2" i="1"/>
</calcChain>
</file>

<file path=xl/sharedStrings.xml><?xml version="1.0" encoding="utf-8"?>
<sst xmlns="http://schemas.openxmlformats.org/spreadsheetml/2006/main" count="961" uniqueCount="263">
  <si>
    <t>fid</t>
  </si>
  <si>
    <t>kk</t>
  </si>
  <si>
    <t>gid</t>
  </si>
  <si>
    <t>bstt</t>
  </si>
  <si>
    <t>luas</t>
  </si>
  <si>
    <t>bsbtt</t>
  </si>
  <si>
    <t>idsls</t>
  </si>
  <si>
    <t>kdkab</t>
  </si>
  <si>
    <t>kdkec</t>
  </si>
  <si>
    <t>kdsls</t>
  </si>
  <si>
    <t>nmkab</t>
  </si>
  <si>
    <t>nmkec</t>
  </si>
  <si>
    <t>nmsls</t>
  </si>
  <si>
    <t>bstt_k</t>
  </si>
  <si>
    <t>kddesa</t>
  </si>
  <si>
    <t>kdprov</t>
  </si>
  <si>
    <t>khusus</t>
  </si>
  <si>
    <t>muatan</t>
  </si>
  <si>
    <t>nmdesa</t>
  </si>
  <si>
    <t>nmprov</t>
  </si>
  <si>
    <t>posisi</t>
  </si>
  <si>
    <t>rw_dki</t>
  </si>
  <si>
    <t>segmen</t>
  </si>
  <si>
    <t>sumber</t>
  </si>
  <si>
    <t>dom_sls</t>
  </si>
  <si>
    <t>periode</t>
  </si>
  <si>
    <t>tingkat</t>
  </si>
  <si>
    <t>nm_gedung</t>
  </si>
  <si>
    <t>wil_campur</t>
  </si>
  <si>
    <t>is_konsent</t>
  </si>
  <si>
    <t>idsubsls</t>
  </si>
  <si>
    <t>kdsubsls</t>
  </si>
  <si>
    <t>19050300080005</t>
  </si>
  <si>
    <t>05</t>
  </si>
  <si>
    <t>030</t>
  </si>
  <si>
    <t>0005</t>
  </si>
  <si>
    <t>BANGKA SELATAN</t>
  </si>
  <si>
    <t>TOBOALI</t>
  </si>
  <si>
    <t>RT 001 DUSUN HARAPAN MULIA</t>
  </si>
  <si>
    <t>008</t>
  </si>
  <si>
    <t>19</t>
  </si>
  <si>
    <t>KAPOSANG</t>
  </si>
  <si>
    <t>KEPULAUAN BANGKA BELITUNG</t>
  </si>
  <si>
    <t>BPS</t>
  </si>
  <si>
    <t>11, 11, 11</t>
  </si>
  <si>
    <t>2025_1</t>
  </si>
  <si>
    <t>1905030008000500</t>
  </si>
  <si>
    <t>00</t>
  </si>
  <si>
    <t>19050300140009</t>
  </si>
  <si>
    <t>0009</t>
  </si>
  <si>
    <t>RT 007 DUSUN KEPOH</t>
  </si>
  <si>
    <t>014</t>
  </si>
  <si>
    <t>KEPOH</t>
  </si>
  <si>
    <t>1, 1</t>
  </si>
  <si>
    <t>1905030014000900</t>
  </si>
  <si>
    <t>19050300080022</t>
  </si>
  <si>
    <t>0022</t>
  </si>
  <si>
    <t>RT 004 DUSUN HARAPAN MAKMUR</t>
  </si>
  <si>
    <t>1</t>
  </si>
  <si>
    <t>1905030008002200</t>
  </si>
  <si>
    <t>19050300080016</t>
  </si>
  <si>
    <t>0016</t>
  </si>
  <si>
    <t>RT 003 DUSUN AIR BULANG</t>
  </si>
  <si>
    <t>1905030008001600</t>
  </si>
  <si>
    <t>19050300080008</t>
  </si>
  <si>
    <t>0008</t>
  </si>
  <si>
    <t>RT 004 DUSUN HARAPAN MULIA</t>
  </si>
  <si>
    <t>1905030008000800</t>
  </si>
  <si>
    <t>19050300140005</t>
  </si>
  <si>
    <t>RT 003 DUSUN KEPOH</t>
  </si>
  <si>
    <t>1905030014000500</t>
  </si>
  <si>
    <t>19050300080015</t>
  </si>
  <si>
    <t>0015</t>
  </si>
  <si>
    <t>RT 002 DUSUN AIR BULANG</t>
  </si>
  <si>
    <t>1, 1, 1</t>
  </si>
  <si>
    <t>1905030008001500</t>
  </si>
  <si>
    <t>19050300080011</t>
  </si>
  <si>
    <t>0011</t>
  </si>
  <si>
    <t>RT 007 DUSUN HARAPAN MULIA</t>
  </si>
  <si>
    <t>1905030008001100</t>
  </si>
  <si>
    <t>19050300080014</t>
  </si>
  <si>
    <t>0014</t>
  </si>
  <si>
    <t>RT 001 DUSUN AIR BULANG</t>
  </si>
  <si>
    <t>1905030008001400</t>
  </si>
  <si>
    <t>19050300080021</t>
  </si>
  <si>
    <t>0021</t>
  </si>
  <si>
    <t>RT 003 DUSUN HARAPAN MAKMUR</t>
  </si>
  <si>
    <t>1905030008002100</t>
  </si>
  <si>
    <t>19050300080026</t>
  </si>
  <si>
    <t>0026</t>
  </si>
  <si>
    <t>RT 008 DUSUN HARAPAN MAKMUR</t>
  </si>
  <si>
    <t>1905030008002600</t>
  </si>
  <si>
    <t>19050300141003</t>
  </si>
  <si>
    <t>1003</t>
  </si>
  <si>
    <t>PERKEBUNAN KARET</t>
  </si>
  <si>
    <t>11</t>
  </si>
  <si>
    <t>1905030014100300</t>
  </si>
  <si>
    <t>19050300080019</t>
  </si>
  <si>
    <t>0019</t>
  </si>
  <si>
    <t>RT 001 DUSUN HARAPAN MAKMUR</t>
  </si>
  <si>
    <t>1905030008001900</t>
  </si>
  <si>
    <t>19050300100004</t>
  </si>
  <si>
    <t>0004</t>
  </si>
  <si>
    <t>RT 001 DUSUN 002</t>
  </si>
  <si>
    <t>010</t>
  </si>
  <si>
    <t>BIKANG</t>
  </si>
  <si>
    <t>1905030010000400</t>
  </si>
  <si>
    <t>19050300080009</t>
  </si>
  <si>
    <t>RT 005 DUSUN HARAPAN MULIA</t>
  </si>
  <si>
    <t>1905030008000900</t>
  </si>
  <si>
    <t>19050300140008</t>
  </si>
  <si>
    <t>RT 006 DUSUN KEPOH</t>
  </si>
  <si>
    <t>1905030014000800</t>
  </si>
  <si>
    <t>19050300140012</t>
  </si>
  <si>
    <t>0012</t>
  </si>
  <si>
    <t>RT 002 DUSUN TAMBANG 2</t>
  </si>
  <si>
    <t>1, 1, 1, 1, 1</t>
  </si>
  <si>
    <t>1905030014001200</t>
  </si>
  <si>
    <t>19050300081002</t>
  </si>
  <si>
    <t>1002</t>
  </si>
  <si>
    <t>1905030008100200</t>
  </si>
  <si>
    <t>19050300141001</t>
  </si>
  <si>
    <t>1001</t>
  </si>
  <si>
    <t>1905030014100100</t>
  </si>
  <si>
    <t>19050300080003</t>
  </si>
  <si>
    <t>0003</t>
  </si>
  <si>
    <t>RT 003 DUSUN KEPOSANG</t>
  </si>
  <si>
    <t>1, 1, 1, 1, 1, 1</t>
  </si>
  <si>
    <t>1905030008000300</t>
  </si>
  <si>
    <t>19050300100002</t>
  </si>
  <si>
    <t>0002</t>
  </si>
  <si>
    <t>RT 002 DUSUN 001</t>
  </si>
  <si>
    <t>1, 1, 1, 1</t>
  </si>
  <si>
    <t>1905030010000200</t>
  </si>
  <si>
    <t>19050300080010</t>
  </si>
  <si>
    <t>0010</t>
  </si>
  <si>
    <t>RT 006 DUSUN HARAPAN MULIA</t>
  </si>
  <si>
    <t>1905030008001000</t>
  </si>
  <si>
    <t>19050300100003</t>
  </si>
  <si>
    <t>RT 003 DUSUN 001</t>
  </si>
  <si>
    <t>1905030010000300</t>
  </si>
  <si>
    <t>19050300080024</t>
  </si>
  <si>
    <t>0024</t>
  </si>
  <si>
    <t>RT 006 DUSUN HARAPAN MAKMUR</t>
  </si>
  <si>
    <t>1905030008002400</t>
  </si>
  <si>
    <t>19050300101001</t>
  </si>
  <si>
    <t>1905030010100100</t>
  </si>
  <si>
    <t>19050300141002</t>
  </si>
  <si>
    <t>1905030014100200</t>
  </si>
  <si>
    <t>19050300100001</t>
  </si>
  <si>
    <t>0001</t>
  </si>
  <si>
    <t>RT 001 DUSUN 001</t>
  </si>
  <si>
    <t>1905030010000100</t>
  </si>
  <si>
    <t>19050300100005</t>
  </si>
  <si>
    <t>RT 002 DUSUN 002</t>
  </si>
  <si>
    <t>1905030010000500</t>
  </si>
  <si>
    <t>19050300080002</t>
  </si>
  <si>
    <t>RT 002 DUSUN KEPOSANG</t>
  </si>
  <si>
    <t>1905030008000200</t>
  </si>
  <si>
    <t>19050300140001</t>
  </si>
  <si>
    <t>RT 001 DUSUN JL.BARU</t>
  </si>
  <si>
    <t>1905030014000100</t>
  </si>
  <si>
    <t>19050300080025</t>
  </si>
  <si>
    <t>0025</t>
  </si>
  <si>
    <t>RT 007 DUSUN HARAPAN MAKMUR</t>
  </si>
  <si>
    <t>1905030008002500</t>
  </si>
  <si>
    <t>19050300080007</t>
  </si>
  <si>
    <t>0007</t>
  </si>
  <si>
    <t>RT 003 DUSUN HARAPAN MULIA</t>
  </si>
  <si>
    <t>1905030008000700</t>
  </si>
  <si>
    <t>19050300081001</t>
  </si>
  <si>
    <t>1905030008100100</t>
  </si>
  <si>
    <t>19050300100008</t>
  </si>
  <si>
    <t>RT 002 DUSUN 003</t>
  </si>
  <si>
    <t>1905030010000800</t>
  </si>
  <si>
    <t>19050300100009</t>
  </si>
  <si>
    <t>RT 003 DUSUN 003</t>
  </si>
  <si>
    <t>1905030010000900</t>
  </si>
  <si>
    <t>19050300100007</t>
  </si>
  <si>
    <t>RT 001 DUSUN 003</t>
  </si>
  <si>
    <t>1905030010000700</t>
  </si>
  <si>
    <t>19050300101002</t>
  </si>
  <si>
    <t>1905030010100200</t>
  </si>
  <si>
    <t>19050300080004</t>
  </si>
  <si>
    <t>RT 004 DUSUN KEPOSANG</t>
  </si>
  <si>
    <t>1905030008000400</t>
  </si>
  <si>
    <t>19050300140006</t>
  </si>
  <si>
    <t>0006</t>
  </si>
  <si>
    <t>RT 004 DUSUN KEPOH</t>
  </si>
  <si>
    <t>1, 1, 1, 11, 1</t>
  </si>
  <si>
    <t>1905030014000600</t>
  </si>
  <si>
    <t>19050300080013</t>
  </si>
  <si>
    <t>0013</t>
  </si>
  <si>
    <t>RT 009 DUSUN HARAPAN MULIA</t>
  </si>
  <si>
    <t>1905030008001300</t>
  </si>
  <si>
    <t>19050300140002</t>
  </si>
  <si>
    <t>RT 002 DUSUN JL.BARU</t>
  </si>
  <si>
    <t>1905030014000200</t>
  </si>
  <si>
    <t>19050300080017</t>
  </si>
  <si>
    <t>0017</t>
  </si>
  <si>
    <t>RT 004 DUSUN AIR BULANG</t>
  </si>
  <si>
    <t>1905030008001700</t>
  </si>
  <si>
    <t>19050300080006</t>
  </si>
  <si>
    <t>RT 002 DUSUN HARAPAN MULIA</t>
  </si>
  <si>
    <t>1905030008000600</t>
  </si>
  <si>
    <t>19050300140011</t>
  </si>
  <si>
    <t>RT 001 DUSUN TAMBANG 2</t>
  </si>
  <si>
    <t>1905030014001100</t>
  </si>
  <si>
    <t>19050300140004</t>
  </si>
  <si>
    <t>RT 002 DUSUN KEPOH</t>
  </si>
  <si>
    <t>1905030014000400</t>
  </si>
  <si>
    <t>19050300080001</t>
  </si>
  <si>
    <t>RT 001 DUSUN KEPOSANG</t>
  </si>
  <si>
    <t>1905030008000100</t>
  </si>
  <si>
    <t>19050300140003</t>
  </si>
  <si>
    <t>RT 001 DUSUN KEPOH</t>
  </si>
  <si>
    <t>1, 11, 1, 1</t>
  </si>
  <si>
    <t>1905030014000300</t>
  </si>
  <si>
    <t>19050300080012</t>
  </si>
  <si>
    <t>RT 008 DUSUN HARAPAN MULIA</t>
  </si>
  <si>
    <t>1905030008001200</t>
  </si>
  <si>
    <t>19050300080018</t>
  </si>
  <si>
    <t>0018</t>
  </si>
  <si>
    <t>RT 005 DUSUN AIR BULANG</t>
  </si>
  <si>
    <t>1905030008001800</t>
  </si>
  <si>
    <t>19050300100006</t>
  </si>
  <si>
    <t>RT 003 DUSUN 002</t>
  </si>
  <si>
    <t>1905030010000600</t>
  </si>
  <si>
    <t>19050300080023</t>
  </si>
  <si>
    <t>0023</t>
  </si>
  <si>
    <t>RT 005 DUSUN HARAPAN MAKMUR</t>
  </si>
  <si>
    <t>1905030008002300</t>
  </si>
  <si>
    <t>19050300140007</t>
  </si>
  <si>
    <t>RT 005 DUSUN KEPOH</t>
  </si>
  <si>
    <t>1905030014000700</t>
  </si>
  <si>
    <t>19050300080020</t>
  </si>
  <si>
    <t>0020</t>
  </si>
  <si>
    <t>RT 002 DUSUN HARAPAN MAKMUR</t>
  </si>
  <si>
    <t>1905030008002000</t>
  </si>
  <si>
    <t>19050300140010</t>
  </si>
  <si>
    <t>RT 008 DUSUN KEPOH</t>
  </si>
  <si>
    <t>1905030014001000</t>
  </si>
  <si>
    <t>dusun</t>
  </si>
  <si>
    <t>DUSUN 002</t>
  </si>
  <si>
    <t>DUSUN 001</t>
  </si>
  <si>
    <t>DUSUN 003</t>
  </si>
  <si>
    <t>DUSUN HARAPAN MULIA</t>
  </si>
  <si>
    <t>DUSUN HARAPAN MAKMUR</t>
  </si>
  <si>
    <t>DUSUN AIR BULANG</t>
  </si>
  <si>
    <t>DUSUN KEPOSANG</t>
  </si>
  <si>
    <t>DUSUN KEPOH</t>
  </si>
  <si>
    <t>DUSUN TAMBANG 2</t>
  </si>
  <si>
    <t>DUSUN JL.BARU</t>
  </si>
  <si>
    <t>bumbungrumah</t>
  </si>
  <si>
    <t>airminumlayak</t>
  </si>
  <si>
    <t>pairminumlayak</t>
  </si>
  <si>
    <t>Dusun</t>
  </si>
  <si>
    <t>Air Minum Layak</t>
  </si>
  <si>
    <t>Air Minum Tidak Layak</t>
  </si>
  <si>
    <t>Air Bulang</t>
  </si>
  <si>
    <t>Harapan Makmur</t>
  </si>
  <si>
    <t>Harapan Mulia</t>
  </si>
  <si>
    <t>Keposang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</si>
</sst>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55"/>
  <sheetViews>
    <sheetView workbookViewId="0">
      <selection activeCell="C12" sqref="C12"/>
    </sheetView>
  </sheetViews>
  <sheetFormatPr defaultRowHeight="12.5" x14ac:dyDescent="0.25"/>
  <cols>
    <col min="1" max="12" width="15"/>
    <col min="13" max="13" width="36" customWidth="1"/>
    <col min="14" max="17" width="27.08984375" customWidth="1"/>
    <col min="18" max="1028" width="15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242</v>
      </c>
      <c r="O1" t="s">
        <v>253</v>
      </c>
      <c r="P1" t="s">
        <v>254</v>
      </c>
      <c r="Q1" t="s">
        <v>255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</row>
    <row r="2" spans="1:36" x14ac:dyDescent="0.25">
      <c r="A2">
        <v>403</v>
      </c>
      <c r="B2">
        <v>53</v>
      </c>
      <c r="C2">
        <v>5716</v>
      </c>
      <c r="D2">
        <v>47</v>
      </c>
      <c r="E2">
        <v>55313.929785294458</v>
      </c>
      <c r="F2">
        <v>1</v>
      </c>
      <c r="G2" t="s">
        <v>129</v>
      </c>
      <c r="H2" t="s">
        <v>33</v>
      </c>
      <c r="I2" t="s">
        <v>34</v>
      </c>
      <c r="J2" t="s">
        <v>130</v>
      </c>
      <c r="K2" t="s">
        <v>36</v>
      </c>
      <c r="L2" t="s">
        <v>37</v>
      </c>
      <c r="M2" t="s">
        <v>131</v>
      </c>
      <c r="N2" t="s">
        <v>244</v>
      </c>
      <c r="O2">
        <v>142</v>
      </c>
      <c r="P2">
        <v>139</v>
      </c>
      <c r="Q2" s="1">
        <f>P2/O2*100</f>
        <v>97.887323943661968</v>
      </c>
      <c r="R2">
        <v>1</v>
      </c>
      <c r="S2" t="s">
        <v>104</v>
      </c>
      <c r="T2" t="s">
        <v>40</v>
      </c>
      <c r="U2">
        <v>0</v>
      </c>
      <c r="V2">
        <v>55</v>
      </c>
      <c r="W2" t="s">
        <v>105</v>
      </c>
      <c r="X2" t="s">
        <v>42</v>
      </c>
      <c r="AB2" t="s">
        <v>43</v>
      </c>
      <c r="AC2" t="s">
        <v>132</v>
      </c>
      <c r="AD2" t="s">
        <v>45</v>
      </c>
      <c r="AE2">
        <v>0</v>
      </c>
      <c r="AG2">
        <v>0</v>
      </c>
      <c r="AI2" t="s">
        <v>133</v>
      </c>
      <c r="AJ2" t="s">
        <v>47</v>
      </c>
    </row>
    <row r="3" spans="1:36" x14ac:dyDescent="0.25">
      <c r="A3">
        <v>415</v>
      </c>
      <c r="B3">
        <v>42</v>
      </c>
      <c r="C3">
        <v>5819</v>
      </c>
      <c r="D3">
        <v>35</v>
      </c>
      <c r="E3">
        <v>35458.577084492659</v>
      </c>
      <c r="F3">
        <v>0</v>
      </c>
      <c r="G3" t="s">
        <v>138</v>
      </c>
      <c r="H3" t="s">
        <v>33</v>
      </c>
      <c r="I3" t="s">
        <v>34</v>
      </c>
      <c r="J3" t="s">
        <v>125</v>
      </c>
      <c r="K3" t="s">
        <v>36</v>
      </c>
      <c r="L3" t="s">
        <v>37</v>
      </c>
      <c r="M3" t="s">
        <v>139</v>
      </c>
      <c r="N3" t="s">
        <v>244</v>
      </c>
      <c r="O3">
        <v>142</v>
      </c>
      <c r="P3">
        <v>139</v>
      </c>
      <c r="Q3" s="1">
        <f t="shared" ref="Q3:Q10" si="0">P3/O3*100</f>
        <v>97.887323943661968</v>
      </c>
      <c r="R3">
        <v>0</v>
      </c>
      <c r="S3" t="s">
        <v>104</v>
      </c>
      <c r="T3" t="s">
        <v>40</v>
      </c>
      <c r="U3">
        <v>0</v>
      </c>
      <c r="V3">
        <v>42</v>
      </c>
      <c r="W3" t="s">
        <v>105</v>
      </c>
      <c r="X3" t="s">
        <v>42</v>
      </c>
      <c r="AB3" t="s">
        <v>43</v>
      </c>
      <c r="AC3" t="s">
        <v>74</v>
      </c>
      <c r="AD3" t="s">
        <v>45</v>
      </c>
      <c r="AE3">
        <v>0</v>
      </c>
      <c r="AG3">
        <v>0</v>
      </c>
      <c r="AI3" t="s">
        <v>140</v>
      </c>
      <c r="AJ3" t="s">
        <v>47</v>
      </c>
    </row>
    <row r="4" spans="1:36" x14ac:dyDescent="0.25">
      <c r="A4">
        <v>491</v>
      </c>
      <c r="B4">
        <v>63</v>
      </c>
      <c r="C4">
        <v>5901</v>
      </c>
      <c r="D4">
        <v>63</v>
      </c>
      <c r="E4">
        <v>236836.21040145861</v>
      </c>
      <c r="F4">
        <v>1</v>
      </c>
      <c r="G4" t="s">
        <v>149</v>
      </c>
      <c r="H4" t="s">
        <v>33</v>
      </c>
      <c r="I4" t="s">
        <v>34</v>
      </c>
      <c r="J4" t="s">
        <v>150</v>
      </c>
      <c r="K4" t="s">
        <v>36</v>
      </c>
      <c r="L4" t="s">
        <v>37</v>
      </c>
      <c r="M4" t="s">
        <v>151</v>
      </c>
      <c r="N4" t="s">
        <v>244</v>
      </c>
      <c r="O4">
        <v>142</v>
      </c>
      <c r="P4">
        <v>139</v>
      </c>
      <c r="Q4" s="1">
        <f t="shared" si="0"/>
        <v>97.887323943661968</v>
      </c>
      <c r="R4">
        <v>5</v>
      </c>
      <c r="S4" t="s">
        <v>104</v>
      </c>
      <c r="T4" t="s">
        <v>40</v>
      </c>
      <c r="U4">
        <v>0</v>
      </c>
      <c r="V4">
        <v>69</v>
      </c>
      <c r="W4" t="s">
        <v>105</v>
      </c>
      <c r="X4" t="s">
        <v>42</v>
      </c>
      <c r="AB4" t="s">
        <v>43</v>
      </c>
      <c r="AC4" t="s">
        <v>74</v>
      </c>
      <c r="AD4" t="s">
        <v>45</v>
      </c>
      <c r="AE4">
        <v>0</v>
      </c>
      <c r="AG4">
        <v>0</v>
      </c>
      <c r="AI4" t="s">
        <v>152</v>
      </c>
      <c r="AJ4" t="s">
        <v>47</v>
      </c>
    </row>
    <row r="5" spans="1:36" x14ac:dyDescent="0.25">
      <c r="A5">
        <v>314</v>
      </c>
      <c r="B5">
        <v>34</v>
      </c>
      <c r="C5">
        <v>6362</v>
      </c>
      <c r="D5">
        <v>27</v>
      </c>
      <c r="E5">
        <v>71525.975525125163</v>
      </c>
      <c r="F5">
        <v>2</v>
      </c>
      <c r="G5" t="s">
        <v>101</v>
      </c>
      <c r="H5" t="s">
        <v>33</v>
      </c>
      <c r="I5" t="s">
        <v>34</v>
      </c>
      <c r="J5" t="s">
        <v>102</v>
      </c>
      <c r="K5" t="s">
        <v>36</v>
      </c>
      <c r="L5" t="s">
        <v>37</v>
      </c>
      <c r="M5" t="s">
        <v>103</v>
      </c>
      <c r="N5" t="s">
        <v>243</v>
      </c>
      <c r="O5">
        <v>150</v>
      </c>
      <c r="P5">
        <v>129</v>
      </c>
      <c r="Q5" s="1">
        <f t="shared" si="0"/>
        <v>86</v>
      </c>
      <c r="R5">
        <v>0</v>
      </c>
      <c r="S5" t="s">
        <v>104</v>
      </c>
      <c r="T5" t="s">
        <v>40</v>
      </c>
      <c r="U5">
        <v>0</v>
      </c>
      <c r="V5">
        <v>36</v>
      </c>
      <c r="W5" t="s">
        <v>105</v>
      </c>
      <c r="X5" t="s">
        <v>42</v>
      </c>
      <c r="AB5" t="s">
        <v>43</v>
      </c>
      <c r="AC5" t="s">
        <v>53</v>
      </c>
      <c r="AD5" t="s">
        <v>45</v>
      </c>
      <c r="AE5">
        <v>0</v>
      </c>
      <c r="AG5">
        <v>0</v>
      </c>
      <c r="AI5" t="s">
        <v>106</v>
      </c>
      <c r="AJ5" t="s">
        <v>47</v>
      </c>
    </row>
    <row r="6" spans="1:36" x14ac:dyDescent="0.25">
      <c r="A6">
        <v>535</v>
      </c>
      <c r="B6">
        <v>54</v>
      </c>
      <c r="C6">
        <v>6006</v>
      </c>
      <c r="D6">
        <v>46</v>
      </c>
      <c r="E6">
        <v>33236.118145459419</v>
      </c>
      <c r="F6">
        <v>0</v>
      </c>
      <c r="G6" t="s">
        <v>153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154</v>
      </c>
      <c r="N6" t="s">
        <v>243</v>
      </c>
      <c r="O6">
        <v>150</v>
      </c>
      <c r="P6">
        <v>129</v>
      </c>
      <c r="Q6" s="1">
        <f t="shared" si="0"/>
        <v>86</v>
      </c>
      <c r="R6">
        <v>0</v>
      </c>
      <c r="S6" t="s">
        <v>104</v>
      </c>
      <c r="T6" t="s">
        <v>40</v>
      </c>
      <c r="U6">
        <v>0</v>
      </c>
      <c r="V6">
        <v>54</v>
      </c>
      <c r="W6" t="s">
        <v>105</v>
      </c>
      <c r="X6" t="s">
        <v>42</v>
      </c>
      <c r="AB6" t="s">
        <v>43</v>
      </c>
      <c r="AC6" t="s">
        <v>74</v>
      </c>
      <c r="AD6" t="s">
        <v>45</v>
      </c>
      <c r="AE6">
        <v>0</v>
      </c>
      <c r="AG6">
        <v>0</v>
      </c>
      <c r="AI6" t="s">
        <v>155</v>
      </c>
      <c r="AJ6" t="s">
        <v>47</v>
      </c>
    </row>
    <row r="7" spans="1:36" x14ac:dyDescent="0.25">
      <c r="A7">
        <v>929</v>
      </c>
      <c r="B7">
        <v>46</v>
      </c>
      <c r="C7">
        <v>5807</v>
      </c>
      <c r="D7">
        <v>37</v>
      </c>
      <c r="E7">
        <v>35801.26343542942</v>
      </c>
      <c r="F7">
        <v>6</v>
      </c>
      <c r="G7" t="s">
        <v>225</v>
      </c>
      <c r="H7" t="s">
        <v>33</v>
      </c>
      <c r="I7" t="s">
        <v>34</v>
      </c>
      <c r="J7" t="s">
        <v>187</v>
      </c>
      <c r="K7" t="s">
        <v>36</v>
      </c>
      <c r="L7" t="s">
        <v>37</v>
      </c>
      <c r="M7" t="s">
        <v>226</v>
      </c>
      <c r="N7" t="s">
        <v>243</v>
      </c>
      <c r="O7">
        <v>150</v>
      </c>
      <c r="P7">
        <v>129</v>
      </c>
      <c r="Q7" s="1">
        <f t="shared" si="0"/>
        <v>86</v>
      </c>
      <c r="R7">
        <v>0</v>
      </c>
      <c r="S7" t="s">
        <v>104</v>
      </c>
      <c r="T7" t="s">
        <v>40</v>
      </c>
      <c r="U7">
        <v>0</v>
      </c>
      <c r="V7">
        <v>52</v>
      </c>
      <c r="W7" t="s">
        <v>105</v>
      </c>
      <c r="X7" t="s">
        <v>42</v>
      </c>
      <c r="AB7" t="s">
        <v>43</v>
      </c>
      <c r="AC7" t="s">
        <v>53</v>
      </c>
      <c r="AD7" t="s">
        <v>45</v>
      </c>
      <c r="AE7">
        <v>0</v>
      </c>
      <c r="AG7">
        <v>0</v>
      </c>
      <c r="AI7" t="s">
        <v>227</v>
      </c>
      <c r="AJ7" t="s">
        <v>47</v>
      </c>
    </row>
    <row r="8" spans="1:36" x14ac:dyDescent="0.25">
      <c r="A8">
        <v>594</v>
      </c>
      <c r="B8">
        <v>57</v>
      </c>
      <c r="C8">
        <v>6031</v>
      </c>
      <c r="D8">
        <v>48</v>
      </c>
      <c r="E8">
        <v>59715.404299469839</v>
      </c>
      <c r="F8">
        <v>1</v>
      </c>
      <c r="G8" t="s">
        <v>172</v>
      </c>
      <c r="H8" t="s">
        <v>33</v>
      </c>
      <c r="I8" t="s">
        <v>34</v>
      </c>
      <c r="J8" t="s">
        <v>65</v>
      </c>
      <c r="K8" t="s">
        <v>36</v>
      </c>
      <c r="L8" t="s">
        <v>37</v>
      </c>
      <c r="M8" t="s">
        <v>173</v>
      </c>
      <c r="N8" t="s">
        <v>245</v>
      </c>
      <c r="O8">
        <v>57</v>
      </c>
      <c r="P8">
        <v>56</v>
      </c>
      <c r="Q8" s="1">
        <f t="shared" si="0"/>
        <v>98.245614035087712</v>
      </c>
      <c r="R8">
        <v>0</v>
      </c>
      <c r="S8" t="s">
        <v>104</v>
      </c>
      <c r="T8" t="s">
        <v>40</v>
      </c>
      <c r="U8">
        <v>0</v>
      </c>
      <c r="V8">
        <v>58</v>
      </c>
      <c r="W8" t="s">
        <v>105</v>
      </c>
      <c r="X8" t="s">
        <v>42</v>
      </c>
      <c r="AB8" t="s">
        <v>43</v>
      </c>
      <c r="AC8" t="s">
        <v>53</v>
      </c>
      <c r="AD8" t="s">
        <v>45</v>
      </c>
      <c r="AE8">
        <v>0</v>
      </c>
      <c r="AG8">
        <v>0</v>
      </c>
      <c r="AI8" t="s">
        <v>174</v>
      </c>
      <c r="AJ8" t="s">
        <v>47</v>
      </c>
    </row>
    <row r="9" spans="1:36" x14ac:dyDescent="0.25">
      <c r="A9">
        <v>603</v>
      </c>
      <c r="B9">
        <v>57</v>
      </c>
      <c r="C9">
        <v>6018</v>
      </c>
      <c r="D9">
        <v>56</v>
      </c>
      <c r="E9">
        <v>209705.71408043129</v>
      </c>
      <c r="F9">
        <v>4</v>
      </c>
      <c r="G9" t="s">
        <v>175</v>
      </c>
      <c r="H9" t="s">
        <v>33</v>
      </c>
      <c r="I9" t="s">
        <v>34</v>
      </c>
      <c r="J9" t="s">
        <v>49</v>
      </c>
      <c r="K9" t="s">
        <v>36</v>
      </c>
      <c r="L9" t="s">
        <v>37</v>
      </c>
      <c r="M9" t="s">
        <v>176</v>
      </c>
      <c r="N9" t="s">
        <v>245</v>
      </c>
      <c r="O9">
        <v>57</v>
      </c>
      <c r="P9">
        <v>56</v>
      </c>
      <c r="Q9" s="1">
        <f t="shared" si="0"/>
        <v>98.245614035087712</v>
      </c>
      <c r="R9">
        <v>1</v>
      </c>
      <c r="S9" t="s">
        <v>104</v>
      </c>
      <c r="T9" t="s">
        <v>40</v>
      </c>
      <c r="U9">
        <v>0</v>
      </c>
      <c r="V9">
        <v>62</v>
      </c>
      <c r="W9" t="s">
        <v>105</v>
      </c>
      <c r="X9" t="s">
        <v>42</v>
      </c>
      <c r="AB9" t="s">
        <v>43</v>
      </c>
      <c r="AC9" t="s">
        <v>53</v>
      </c>
      <c r="AD9" t="s">
        <v>45</v>
      </c>
      <c r="AE9">
        <v>0</v>
      </c>
      <c r="AG9">
        <v>0</v>
      </c>
      <c r="AI9" t="s">
        <v>177</v>
      </c>
      <c r="AJ9" t="s">
        <v>47</v>
      </c>
    </row>
    <row r="10" spans="1:36" x14ac:dyDescent="0.25">
      <c r="A10">
        <v>617</v>
      </c>
      <c r="B10">
        <v>47</v>
      </c>
      <c r="C10">
        <v>5947</v>
      </c>
      <c r="D10">
        <v>46</v>
      </c>
      <c r="E10">
        <v>45341.655692780798</v>
      </c>
      <c r="F10">
        <v>0</v>
      </c>
      <c r="G10" t="s">
        <v>178</v>
      </c>
      <c r="H10" t="s">
        <v>33</v>
      </c>
      <c r="I10" t="s">
        <v>34</v>
      </c>
      <c r="J10" t="s">
        <v>167</v>
      </c>
      <c r="K10" t="s">
        <v>36</v>
      </c>
      <c r="L10" t="s">
        <v>37</v>
      </c>
      <c r="M10" t="s">
        <v>179</v>
      </c>
      <c r="N10" t="s">
        <v>245</v>
      </c>
      <c r="O10">
        <v>57</v>
      </c>
      <c r="P10">
        <v>56</v>
      </c>
      <c r="Q10" s="1">
        <f t="shared" si="0"/>
        <v>98.245614035087712</v>
      </c>
      <c r="R10">
        <v>0</v>
      </c>
      <c r="S10" t="s">
        <v>104</v>
      </c>
      <c r="T10" t="s">
        <v>40</v>
      </c>
      <c r="U10">
        <v>0</v>
      </c>
      <c r="V10">
        <v>47</v>
      </c>
      <c r="W10" t="s">
        <v>105</v>
      </c>
      <c r="X10" t="s">
        <v>42</v>
      </c>
      <c r="AB10" t="s">
        <v>43</v>
      </c>
      <c r="AC10" t="s">
        <v>74</v>
      </c>
      <c r="AD10" t="s">
        <v>45</v>
      </c>
      <c r="AE10">
        <v>0</v>
      </c>
      <c r="AG10">
        <v>0</v>
      </c>
      <c r="AI10" t="s">
        <v>180</v>
      </c>
      <c r="AJ10" t="s">
        <v>47</v>
      </c>
    </row>
    <row r="11" spans="1:36" x14ac:dyDescent="0.25">
      <c r="A11">
        <v>454</v>
      </c>
      <c r="B11">
        <v>0</v>
      </c>
      <c r="C11">
        <v>5863</v>
      </c>
      <c r="D11">
        <v>0</v>
      </c>
      <c r="E11">
        <v>16601873.75194866</v>
      </c>
      <c r="F11">
        <v>0</v>
      </c>
      <c r="G11" t="s">
        <v>145</v>
      </c>
      <c r="H11" t="s">
        <v>33</v>
      </c>
      <c r="I11" t="s">
        <v>34</v>
      </c>
      <c r="J11" t="s">
        <v>122</v>
      </c>
      <c r="K11" t="s">
        <v>36</v>
      </c>
      <c r="L11" t="s">
        <v>37</v>
      </c>
      <c r="M11" t="s">
        <v>94</v>
      </c>
      <c r="N11" t="s">
        <v>94</v>
      </c>
      <c r="O11">
        <v>0</v>
      </c>
      <c r="P11">
        <v>0</v>
      </c>
      <c r="Q11">
        <v>0</v>
      </c>
      <c r="R11">
        <v>0</v>
      </c>
      <c r="S11" t="s">
        <v>104</v>
      </c>
      <c r="T11" t="s">
        <v>40</v>
      </c>
      <c r="U11">
        <v>0</v>
      </c>
      <c r="V11">
        <v>0</v>
      </c>
      <c r="W11" t="s">
        <v>105</v>
      </c>
      <c r="X11" t="s">
        <v>42</v>
      </c>
      <c r="AB11" t="s">
        <v>43</v>
      </c>
      <c r="AC11" t="s">
        <v>95</v>
      </c>
      <c r="AD11" t="s">
        <v>45</v>
      </c>
      <c r="AE11">
        <v>0</v>
      </c>
      <c r="AG11">
        <v>0</v>
      </c>
      <c r="AI11" t="s">
        <v>146</v>
      </c>
      <c r="AJ11" t="s">
        <v>47</v>
      </c>
    </row>
    <row r="12" spans="1:36" x14ac:dyDescent="0.25">
      <c r="A12">
        <v>619</v>
      </c>
      <c r="B12">
        <v>0</v>
      </c>
      <c r="C12">
        <v>6032</v>
      </c>
      <c r="D12">
        <v>0</v>
      </c>
      <c r="E12">
        <v>31293678.807622779</v>
      </c>
      <c r="F12">
        <v>0</v>
      </c>
      <c r="G12" t="s">
        <v>181</v>
      </c>
      <c r="H12" t="s">
        <v>33</v>
      </c>
      <c r="I12" t="s">
        <v>34</v>
      </c>
      <c r="J12" t="s">
        <v>119</v>
      </c>
      <c r="K12" t="s">
        <v>36</v>
      </c>
      <c r="L12" t="s">
        <v>37</v>
      </c>
      <c r="M12" t="s">
        <v>94</v>
      </c>
      <c r="N12" t="s">
        <v>94</v>
      </c>
      <c r="O12">
        <v>0</v>
      </c>
      <c r="P12">
        <v>0</v>
      </c>
      <c r="Q12">
        <v>0</v>
      </c>
      <c r="R12">
        <v>0</v>
      </c>
      <c r="S12" t="s">
        <v>104</v>
      </c>
      <c r="T12" t="s">
        <v>40</v>
      </c>
      <c r="U12">
        <v>0</v>
      </c>
      <c r="V12">
        <v>0</v>
      </c>
      <c r="W12" t="s">
        <v>105</v>
      </c>
      <c r="X12" t="s">
        <v>42</v>
      </c>
      <c r="AB12" t="s">
        <v>43</v>
      </c>
      <c r="AC12" t="s">
        <v>95</v>
      </c>
      <c r="AD12" t="s">
        <v>45</v>
      </c>
      <c r="AE12">
        <v>0</v>
      </c>
      <c r="AG12">
        <v>0</v>
      </c>
      <c r="AI12" t="s">
        <v>182</v>
      </c>
      <c r="AJ12" t="s">
        <v>47</v>
      </c>
    </row>
    <row r="13" spans="1:36" hidden="1" x14ac:dyDescent="0.25">
      <c r="A13">
        <v>18</v>
      </c>
      <c r="B13">
        <v>69</v>
      </c>
      <c r="C13">
        <v>5850</v>
      </c>
      <c r="D13">
        <v>67</v>
      </c>
      <c r="E13">
        <v>221877.17501048389</v>
      </c>
      <c r="F13">
        <v>4</v>
      </c>
      <c r="G13" t="s">
        <v>32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246</v>
      </c>
      <c r="R13">
        <v>3</v>
      </c>
      <c r="S13" t="s">
        <v>39</v>
      </c>
      <c r="T13" t="s">
        <v>40</v>
      </c>
      <c r="U13">
        <v>0</v>
      </c>
      <c r="V13">
        <v>76</v>
      </c>
      <c r="W13" t="s">
        <v>41</v>
      </c>
      <c r="X13" t="s">
        <v>42</v>
      </c>
      <c r="AB13" t="s">
        <v>43</v>
      </c>
      <c r="AC13" t="s">
        <v>44</v>
      </c>
      <c r="AD13" t="s">
        <v>45</v>
      </c>
      <c r="AE13">
        <v>0</v>
      </c>
      <c r="AG13">
        <v>0</v>
      </c>
      <c r="AI13" t="s">
        <v>46</v>
      </c>
      <c r="AJ13" t="s">
        <v>47</v>
      </c>
    </row>
    <row r="14" spans="1:36" hidden="1" x14ac:dyDescent="0.25">
      <c r="A14">
        <v>41</v>
      </c>
      <c r="B14">
        <v>34</v>
      </c>
      <c r="C14">
        <v>5529</v>
      </c>
      <c r="D14">
        <v>28</v>
      </c>
      <c r="E14">
        <v>54126.386756183463</v>
      </c>
      <c r="F14">
        <v>5</v>
      </c>
      <c r="G14" t="s">
        <v>55</v>
      </c>
      <c r="H14" t="s">
        <v>33</v>
      </c>
      <c r="I14" t="s">
        <v>34</v>
      </c>
      <c r="J14" t="s">
        <v>56</v>
      </c>
      <c r="K14" t="s">
        <v>36</v>
      </c>
      <c r="L14" t="s">
        <v>37</v>
      </c>
      <c r="M14" t="s">
        <v>57</v>
      </c>
      <c r="N14" t="s">
        <v>247</v>
      </c>
      <c r="R14">
        <v>3</v>
      </c>
      <c r="S14" t="s">
        <v>39</v>
      </c>
      <c r="T14" t="s">
        <v>40</v>
      </c>
      <c r="U14">
        <v>0</v>
      </c>
      <c r="V14">
        <v>42</v>
      </c>
      <c r="W14" t="s">
        <v>41</v>
      </c>
      <c r="X14" t="s">
        <v>42</v>
      </c>
      <c r="AB14" t="s">
        <v>43</v>
      </c>
      <c r="AC14" t="s">
        <v>58</v>
      </c>
      <c r="AD14" t="s">
        <v>45</v>
      </c>
      <c r="AE14">
        <v>0</v>
      </c>
      <c r="AG14">
        <v>0</v>
      </c>
      <c r="AI14" t="s">
        <v>59</v>
      </c>
      <c r="AJ14" t="s">
        <v>47</v>
      </c>
    </row>
    <row r="15" spans="1:36" hidden="1" x14ac:dyDescent="0.25">
      <c r="A15">
        <v>145</v>
      </c>
      <c r="B15">
        <v>46</v>
      </c>
      <c r="C15">
        <v>5543</v>
      </c>
      <c r="D15">
        <v>44</v>
      </c>
      <c r="E15">
        <v>93320.768235772848</v>
      </c>
      <c r="F15">
        <v>2</v>
      </c>
      <c r="G15" t="s">
        <v>60</v>
      </c>
      <c r="H15" t="s">
        <v>33</v>
      </c>
      <c r="I15" t="s">
        <v>34</v>
      </c>
      <c r="J15" t="s">
        <v>61</v>
      </c>
      <c r="K15" t="s">
        <v>36</v>
      </c>
      <c r="L15" t="s">
        <v>37</v>
      </c>
      <c r="M15" t="s">
        <v>62</v>
      </c>
      <c r="N15" t="s">
        <v>248</v>
      </c>
      <c r="R15">
        <v>2</v>
      </c>
      <c r="S15" t="s">
        <v>39</v>
      </c>
      <c r="T15" t="s">
        <v>40</v>
      </c>
      <c r="U15">
        <v>0</v>
      </c>
      <c r="V15">
        <v>50</v>
      </c>
      <c r="W15" t="s">
        <v>41</v>
      </c>
      <c r="X15" t="s">
        <v>42</v>
      </c>
      <c r="AB15" t="s">
        <v>43</v>
      </c>
      <c r="AC15" t="s">
        <v>53</v>
      </c>
      <c r="AD15" t="s">
        <v>45</v>
      </c>
      <c r="AE15">
        <v>0</v>
      </c>
      <c r="AG15">
        <v>0</v>
      </c>
      <c r="AI15" t="s">
        <v>63</v>
      </c>
      <c r="AJ15" t="s">
        <v>47</v>
      </c>
    </row>
    <row r="16" spans="1:36" hidden="1" x14ac:dyDescent="0.25">
      <c r="A16">
        <v>168</v>
      </c>
      <c r="B16">
        <v>53</v>
      </c>
      <c r="C16">
        <v>5563</v>
      </c>
      <c r="D16">
        <v>50</v>
      </c>
      <c r="E16">
        <v>78078.386741684226</v>
      </c>
      <c r="F16">
        <v>8</v>
      </c>
      <c r="G16" t="s">
        <v>64</v>
      </c>
      <c r="H16" t="s">
        <v>33</v>
      </c>
      <c r="I16" t="s">
        <v>34</v>
      </c>
      <c r="J16" t="s">
        <v>65</v>
      </c>
      <c r="K16" t="s">
        <v>36</v>
      </c>
      <c r="L16" t="s">
        <v>37</v>
      </c>
      <c r="M16" t="s">
        <v>66</v>
      </c>
      <c r="N16" t="s">
        <v>246</v>
      </c>
      <c r="R16">
        <v>1</v>
      </c>
      <c r="S16" t="s">
        <v>39</v>
      </c>
      <c r="T16" t="s">
        <v>40</v>
      </c>
      <c r="U16">
        <v>0</v>
      </c>
      <c r="V16">
        <v>62</v>
      </c>
      <c r="W16" t="s">
        <v>41</v>
      </c>
      <c r="X16" t="s">
        <v>42</v>
      </c>
      <c r="AB16" t="s">
        <v>43</v>
      </c>
      <c r="AC16" t="s">
        <v>53</v>
      </c>
      <c r="AD16" t="s">
        <v>45</v>
      </c>
      <c r="AE16">
        <v>0</v>
      </c>
      <c r="AG16">
        <v>0</v>
      </c>
      <c r="AI16" t="s">
        <v>67</v>
      </c>
      <c r="AJ16" t="s">
        <v>47</v>
      </c>
    </row>
    <row r="17" spans="1:36" hidden="1" x14ac:dyDescent="0.25">
      <c r="A17">
        <v>177</v>
      </c>
      <c r="B17">
        <v>47</v>
      </c>
      <c r="C17">
        <v>5576</v>
      </c>
      <c r="D17">
        <v>45</v>
      </c>
      <c r="E17">
        <v>338410.20097320899</v>
      </c>
      <c r="F17">
        <v>7</v>
      </c>
      <c r="G17" t="s">
        <v>71</v>
      </c>
      <c r="H17" t="s">
        <v>33</v>
      </c>
      <c r="I17" t="s">
        <v>34</v>
      </c>
      <c r="J17" t="s">
        <v>72</v>
      </c>
      <c r="K17" t="s">
        <v>36</v>
      </c>
      <c r="L17" t="s">
        <v>37</v>
      </c>
      <c r="M17" t="s">
        <v>73</v>
      </c>
      <c r="N17" t="s">
        <v>248</v>
      </c>
      <c r="R17">
        <v>7</v>
      </c>
      <c r="S17" t="s">
        <v>39</v>
      </c>
      <c r="T17" t="s">
        <v>40</v>
      </c>
      <c r="U17">
        <v>0</v>
      </c>
      <c r="V17">
        <v>61</v>
      </c>
      <c r="W17" t="s">
        <v>41</v>
      </c>
      <c r="X17" t="s">
        <v>42</v>
      </c>
      <c r="AB17" t="s">
        <v>43</v>
      </c>
      <c r="AC17" t="s">
        <v>74</v>
      </c>
      <c r="AD17" t="s">
        <v>45</v>
      </c>
      <c r="AE17">
        <v>0</v>
      </c>
      <c r="AG17">
        <v>0</v>
      </c>
      <c r="AI17" t="s">
        <v>75</v>
      </c>
      <c r="AJ17" t="s">
        <v>47</v>
      </c>
    </row>
    <row r="18" spans="1:36" hidden="1" x14ac:dyDescent="0.25">
      <c r="A18">
        <v>234</v>
      </c>
      <c r="B18">
        <v>33</v>
      </c>
      <c r="C18">
        <v>5630</v>
      </c>
      <c r="D18">
        <v>32</v>
      </c>
      <c r="E18">
        <v>331294.22948807589</v>
      </c>
      <c r="F18">
        <v>3</v>
      </c>
      <c r="G18" t="s">
        <v>76</v>
      </c>
      <c r="H18" t="s">
        <v>33</v>
      </c>
      <c r="I18" t="s">
        <v>34</v>
      </c>
      <c r="J18" t="s">
        <v>77</v>
      </c>
      <c r="K18" t="s">
        <v>36</v>
      </c>
      <c r="L18" t="s">
        <v>37</v>
      </c>
      <c r="M18" t="s">
        <v>78</v>
      </c>
      <c r="N18" t="s">
        <v>246</v>
      </c>
      <c r="R18">
        <v>7</v>
      </c>
      <c r="S18" t="s">
        <v>39</v>
      </c>
      <c r="T18" t="s">
        <v>40</v>
      </c>
      <c r="U18">
        <v>0</v>
      </c>
      <c r="V18">
        <v>43</v>
      </c>
      <c r="W18" t="s">
        <v>41</v>
      </c>
      <c r="X18" t="s">
        <v>42</v>
      </c>
      <c r="AB18" t="s">
        <v>43</v>
      </c>
      <c r="AC18" t="s">
        <v>58</v>
      </c>
      <c r="AD18" t="s">
        <v>45</v>
      </c>
      <c r="AE18">
        <v>0</v>
      </c>
      <c r="AG18">
        <v>0</v>
      </c>
      <c r="AI18" t="s">
        <v>79</v>
      </c>
      <c r="AJ18" t="s">
        <v>47</v>
      </c>
    </row>
    <row r="19" spans="1:36" hidden="1" x14ac:dyDescent="0.25">
      <c r="A19">
        <v>235</v>
      </c>
      <c r="B19">
        <v>56</v>
      </c>
      <c r="C19">
        <v>5631</v>
      </c>
      <c r="D19">
        <v>54</v>
      </c>
      <c r="E19">
        <v>435432.66456629889</v>
      </c>
      <c r="F19">
        <v>3</v>
      </c>
      <c r="G19" t="s">
        <v>80</v>
      </c>
      <c r="H19" t="s">
        <v>33</v>
      </c>
      <c r="I19" t="s">
        <v>34</v>
      </c>
      <c r="J19" t="s">
        <v>81</v>
      </c>
      <c r="K19" t="s">
        <v>36</v>
      </c>
      <c r="L19" t="s">
        <v>37</v>
      </c>
      <c r="M19" t="s">
        <v>82</v>
      </c>
      <c r="N19" t="s">
        <v>248</v>
      </c>
      <c r="R19">
        <v>3</v>
      </c>
      <c r="S19" t="s">
        <v>39</v>
      </c>
      <c r="T19" t="s">
        <v>40</v>
      </c>
      <c r="U19">
        <v>0</v>
      </c>
      <c r="V19">
        <v>62</v>
      </c>
      <c r="W19" t="s">
        <v>41</v>
      </c>
      <c r="X19" t="s">
        <v>42</v>
      </c>
      <c r="AB19" t="s">
        <v>43</v>
      </c>
      <c r="AC19" t="s">
        <v>53</v>
      </c>
      <c r="AD19" t="s">
        <v>45</v>
      </c>
      <c r="AE19">
        <v>0</v>
      </c>
      <c r="AG19">
        <v>0</v>
      </c>
      <c r="AI19" t="s">
        <v>83</v>
      </c>
      <c r="AJ19" t="s">
        <v>47</v>
      </c>
    </row>
    <row r="20" spans="1:36" hidden="1" x14ac:dyDescent="0.25">
      <c r="A20">
        <v>236</v>
      </c>
      <c r="B20">
        <v>61</v>
      </c>
      <c r="C20">
        <v>5632</v>
      </c>
      <c r="D20">
        <v>60</v>
      </c>
      <c r="E20">
        <v>233660.51494055791</v>
      </c>
      <c r="F20">
        <v>2</v>
      </c>
      <c r="G20" t="s">
        <v>84</v>
      </c>
      <c r="H20" t="s">
        <v>33</v>
      </c>
      <c r="I20" t="s">
        <v>34</v>
      </c>
      <c r="J20" t="s">
        <v>85</v>
      </c>
      <c r="K20" t="s">
        <v>36</v>
      </c>
      <c r="L20" t="s">
        <v>37</v>
      </c>
      <c r="M20" t="s">
        <v>86</v>
      </c>
      <c r="N20" t="s">
        <v>247</v>
      </c>
      <c r="R20">
        <v>14</v>
      </c>
      <c r="S20" t="s">
        <v>39</v>
      </c>
      <c r="T20" t="s">
        <v>40</v>
      </c>
      <c r="U20">
        <v>0</v>
      </c>
      <c r="V20">
        <v>77</v>
      </c>
      <c r="W20" t="s">
        <v>41</v>
      </c>
      <c r="X20" t="s">
        <v>42</v>
      </c>
      <c r="AB20" t="s">
        <v>43</v>
      </c>
      <c r="AC20" t="s">
        <v>74</v>
      </c>
      <c r="AD20" t="s">
        <v>45</v>
      </c>
      <c r="AE20">
        <v>0</v>
      </c>
      <c r="AG20">
        <v>0</v>
      </c>
      <c r="AI20" t="s">
        <v>87</v>
      </c>
      <c r="AJ20" t="s">
        <v>47</v>
      </c>
    </row>
    <row r="21" spans="1:36" hidden="1" x14ac:dyDescent="0.25">
      <c r="A21">
        <v>257</v>
      </c>
      <c r="B21">
        <v>61</v>
      </c>
      <c r="C21">
        <v>5652</v>
      </c>
      <c r="D21">
        <v>48</v>
      </c>
      <c r="E21">
        <v>181279.74585973629</v>
      </c>
      <c r="F21">
        <v>12</v>
      </c>
      <c r="G21" t="s">
        <v>88</v>
      </c>
      <c r="H21" t="s">
        <v>33</v>
      </c>
      <c r="I21" t="s">
        <v>34</v>
      </c>
      <c r="J21" t="s">
        <v>89</v>
      </c>
      <c r="K21" t="s">
        <v>36</v>
      </c>
      <c r="L21" t="s">
        <v>37</v>
      </c>
      <c r="M21" t="s">
        <v>90</v>
      </c>
      <c r="N21" t="s">
        <v>247</v>
      </c>
      <c r="R21">
        <v>0</v>
      </c>
      <c r="S21" t="s">
        <v>39</v>
      </c>
      <c r="T21" t="s">
        <v>40</v>
      </c>
      <c r="U21">
        <v>0</v>
      </c>
      <c r="V21">
        <v>73</v>
      </c>
      <c r="W21" t="s">
        <v>41</v>
      </c>
      <c r="X21" t="s">
        <v>42</v>
      </c>
      <c r="AB21" t="s">
        <v>43</v>
      </c>
      <c r="AC21" t="s">
        <v>53</v>
      </c>
      <c r="AD21" t="s">
        <v>45</v>
      </c>
      <c r="AE21">
        <v>0</v>
      </c>
      <c r="AG21">
        <v>0</v>
      </c>
      <c r="AI21" t="s">
        <v>91</v>
      </c>
      <c r="AJ21" t="s">
        <v>47</v>
      </c>
    </row>
    <row r="22" spans="1:36" hidden="1" x14ac:dyDescent="0.25">
      <c r="A22">
        <v>290</v>
      </c>
      <c r="B22">
        <v>62</v>
      </c>
      <c r="C22">
        <v>5684</v>
      </c>
      <c r="D22">
        <v>54</v>
      </c>
      <c r="E22">
        <v>86966.050659868866</v>
      </c>
      <c r="F22">
        <v>3</v>
      </c>
      <c r="G22" t="s">
        <v>97</v>
      </c>
      <c r="H22" t="s">
        <v>33</v>
      </c>
      <c r="I22" t="s">
        <v>34</v>
      </c>
      <c r="J22" t="s">
        <v>98</v>
      </c>
      <c r="K22" t="s">
        <v>36</v>
      </c>
      <c r="L22" t="s">
        <v>37</v>
      </c>
      <c r="M22" t="s">
        <v>99</v>
      </c>
      <c r="N22" t="s">
        <v>247</v>
      </c>
      <c r="R22">
        <v>0</v>
      </c>
      <c r="S22" t="s">
        <v>39</v>
      </c>
      <c r="T22" t="s">
        <v>40</v>
      </c>
      <c r="U22">
        <v>0</v>
      </c>
      <c r="V22">
        <v>65</v>
      </c>
      <c r="W22" t="s">
        <v>41</v>
      </c>
      <c r="X22" t="s">
        <v>42</v>
      </c>
      <c r="AB22" t="s">
        <v>43</v>
      </c>
      <c r="AC22" t="s">
        <v>74</v>
      </c>
      <c r="AD22" t="s">
        <v>45</v>
      </c>
      <c r="AE22">
        <v>0</v>
      </c>
      <c r="AG22">
        <v>0</v>
      </c>
      <c r="AI22" t="s">
        <v>100</v>
      </c>
      <c r="AJ22" t="s">
        <v>47</v>
      </c>
    </row>
    <row r="23" spans="1:36" hidden="1" x14ac:dyDescent="0.25">
      <c r="A23">
        <v>315</v>
      </c>
      <c r="B23">
        <v>59</v>
      </c>
      <c r="C23">
        <v>5717</v>
      </c>
      <c r="D23">
        <v>57</v>
      </c>
      <c r="E23">
        <v>349707.36199507432</v>
      </c>
      <c r="F23">
        <v>4</v>
      </c>
      <c r="G23" t="s">
        <v>107</v>
      </c>
      <c r="H23" t="s">
        <v>33</v>
      </c>
      <c r="I23" t="s">
        <v>34</v>
      </c>
      <c r="J23" t="s">
        <v>49</v>
      </c>
      <c r="K23" t="s">
        <v>36</v>
      </c>
      <c r="L23" t="s">
        <v>37</v>
      </c>
      <c r="M23" t="s">
        <v>108</v>
      </c>
      <c r="N23" t="s">
        <v>246</v>
      </c>
      <c r="R23">
        <v>10</v>
      </c>
      <c r="S23" t="s">
        <v>39</v>
      </c>
      <c r="T23" t="s">
        <v>40</v>
      </c>
      <c r="U23">
        <v>0</v>
      </c>
      <c r="V23">
        <v>73</v>
      </c>
      <c r="W23" t="s">
        <v>41</v>
      </c>
      <c r="X23" t="s">
        <v>42</v>
      </c>
      <c r="AB23" t="s">
        <v>43</v>
      </c>
      <c r="AC23" t="s">
        <v>53</v>
      </c>
      <c r="AD23" t="s">
        <v>45</v>
      </c>
      <c r="AE23">
        <v>0</v>
      </c>
      <c r="AG23">
        <v>0</v>
      </c>
      <c r="AI23" t="s">
        <v>109</v>
      </c>
      <c r="AJ23" t="s">
        <v>47</v>
      </c>
    </row>
    <row r="24" spans="1:36" hidden="1" x14ac:dyDescent="0.25">
      <c r="A24">
        <v>352</v>
      </c>
      <c r="B24">
        <v>0</v>
      </c>
      <c r="C24">
        <v>5753</v>
      </c>
      <c r="D24">
        <v>0</v>
      </c>
      <c r="E24">
        <v>17174153.130344469</v>
      </c>
      <c r="F24">
        <v>0</v>
      </c>
      <c r="G24" t="s">
        <v>118</v>
      </c>
      <c r="H24" t="s">
        <v>33</v>
      </c>
      <c r="I24" t="s">
        <v>34</v>
      </c>
      <c r="J24" t="s">
        <v>119</v>
      </c>
      <c r="K24" t="s">
        <v>36</v>
      </c>
      <c r="L24" t="s">
        <v>37</v>
      </c>
      <c r="M24" t="s">
        <v>94</v>
      </c>
      <c r="N24" t="s">
        <v>94</v>
      </c>
      <c r="R24">
        <v>0</v>
      </c>
      <c r="S24" t="s">
        <v>39</v>
      </c>
      <c r="T24" t="s">
        <v>40</v>
      </c>
      <c r="U24">
        <v>0</v>
      </c>
      <c r="V24">
        <v>0</v>
      </c>
      <c r="W24" t="s">
        <v>41</v>
      </c>
      <c r="X24" t="s">
        <v>42</v>
      </c>
      <c r="AB24" t="s">
        <v>43</v>
      </c>
      <c r="AC24" t="s">
        <v>95</v>
      </c>
      <c r="AD24" t="s">
        <v>45</v>
      </c>
      <c r="AE24">
        <v>0</v>
      </c>
      <c r="AG24">
        <v>0</v>
      </c>
      <c r="AI24" t="s">
        <v>120</v>
      </c>
      <c r="AJ24" t="s">
        <v>47</v>
      </c>
    </row>
    <row r="25" spans="1:36" hidden="1" x14ac:dyDescent="0.25">
      <c r="A25">
        <v>381</v>
      </c>
      <c r="B25">
        <v>81</v>
      </c>
      <c r="C25">
        <v>5823</v>
      </c>
      <c r="D25">
        <v>81</v>
      </c>
      <c r="E25">
        <v>236602.32198818331</v>
      </c>
      <c r="F25">
        <v>15</v>
      </c>
      <c r="G25" t="s">
        <v>124</v>
      </c>
      <c r="H25" t="s">
        <v>33</v>
      </c>
      <c r="I25" t="s">
        <v>34</v>
      </c>
      <c r="J25" t="s">
        <v>125</v>
      </c>
      <c r="K25" t="s">
        <v>36</v>
      </c>
      <c r="L25" t="s">
        <v>37</v>
      </c>
      <c r="M25" t="s">
        <v>126</v>
      </c>
      <c r="N25" t="s">
        <v>249</v>
      </c>
      <c r="R25">
        <v>13</v>
      </c>
      <c r="S25" t="s">
        <v>39</v>
      </c>
      <c r="T25" t="s">
        <v>40</v>
      </c>
      <c r="U25">
        <v>0</v>
      </c>
      <c r="V25">
        <v>109</v>
      </c>
      <c r="W25" t="s">
        <v>41</v>
      </c>
      <c r="X25" t="s">
        <v>42</v>
      </c>
      <c r="AB25" t="s">
        <v>43</v>
      </c>
      <c r="AC25" t="s">
        <v>127</v>
      </c>
      <c r="AD25" t="s">
        <v>45</v>
      </c>
      <c r="AE25">
        <v>0</v>
      </c>
      <c r="AG25">
        <v>0</v>
      </c>
      <c r="AI25" t="s">
        <v>128</v>
      </c>
      <c r="AJ25" t="s">
        <v>47</v>
      </c>
    </row>
    <row r="26" spans="1:36" hidden="1" x14ac:dyDescent="0.25">
      <c r="A26">
        <v>404</v>
      </c>
      <c r="B26">
        <v>51</v>
      </c>
      <c r="C26">
        <v>5808</v>
      </c>
      <c r="D26">
        <v>51</v>
      </c>
      <c r="E26">
        <v>209519.86790941449</v>
      </c>
      <c r="F26">
        <v>3</v>
      </c>
      <c r="G26" t="s">
        <v>134</v>
      </c>
      <c r="H26" t="s">
        <v>33</v>
      </c>
      <c r="I26" t="s">
        <v>34</v>
      </c>
      <c r="J26" t="s">
        <v>135</v>
      </c>
      <c r="K26" t="s">
        <v>36</v>
      </c>
      <c r="L26" t="s">
        <v>37</v>
      </c>
      <c r="M26" t="s">
        <v>136</v>
      </c>
      <c r="N26" t="s">
        <v>246</v>
      </c>
      <c r="R26">
        <v>0</v>
      </c>
      <c r="S26" t="s">
        <v>39</v>
      </c>
      <c r="T26" t="s">
        <v>40</v>
      </c>
      <c r="U26">
        <v>0</v>
      </c>
      <c r="V26">
        <v>54</v>
      </c>
      <c r="W26" t="s">
        <v>41</v>
      </c>
      <c r="X26" t="s">
        <v>42</v>
      </c>
      <c r="AB26" t="s">
        <v>43</v>
      </c>
      <c r="AC26" t="s">
        <v>53</v>
      </c>
      <c r="AD26" t="s">
        <v>45</v>
      </c>
      <c r="AE26">
        <v>0</v>
      </c>
      <c r="AG26">
        <v>0</v>
      </c>
      <c r="AI26" t="s">
        <v>137</v>
      </c>
      <c r="AJ26" t="s">
        <v>47</v>
      </c>
    </row>
    <row r="27" spans="1:36" hidden="1" x14ac:dyDescent="0.25">
      <c r="A27">
        <v>419</v>
      </c>
      <c r="B27">
        <v>54</v>
      </c>
      <c r="C27">
        <v>5826</v>
      </c>
      <c r="D27">
        <v>47</v>
      </c>
      <c r="E27">
        <v>1047662.644745628</v>
      </c>
      <c r="F27">
        <v>6</v>
      </c>
      <c r="G27" t="s">
        <v>141</v>
      </c>
      <c r="H27" t="s">
        <v>33</v>
      </c>
      <c r="I27" t="s">
        <v>34</v>
      </c>
      <c r="J27" t="s">
        <v>142</v>
      </c>
      <c r="K27" t="s">
        <v>36</v>
      </c>
      <c r="L27" t="s">
        <v>37</v>
      </c>
      <c r="M27" t="s">
        <v>143</v>
      </c>
      <c r="N27" t="s">
        <v>247</v>
      </c>
      <c r="R27">
        <v>15</v>
      </c>
      <c r="S27" t="s">
        <v>39</v>
      </c>
      <c r="T27" t="s">
        <v>40</v>
      </c>
      <c r="U27">
        <v>0</v>
      </c>
      <c r="V27">
        <v>75</v>
      </c>
      <c r="W27" t="s">
        <v>41</v>
      </c>
      <c r="X27" t="s">
        <v>42</v>
      </c>
      <c r="AB27" t="s">
        <v>43</v>
      </c>
      <c r="AC27" t="s">
        <v>53</v>
      </c>
      <c r="AD27" t="s">
        <v>45</v>
      </c>
      <c r="AE27">
        <v>0</v>
      </c>
      <c r="AG27">
        <v>0</v>
      </c>
      <c r="AI27" t="s">
        <v>144</v>
      </c>
      <c r="AJ27" t="s">
        <v>47</v>
      </c>
    </row>
    <row r="28" spans="1:36" hidden="1" x14ac:dyDescent="0.25">
      <c r="A28">
        <v>536</v>
      </c>
      <c r="B28">
        <v>56</v>
      </c>
      <c r="C28">
        <v>5948</v>
      </c>
      <c r="D28">
        <v>50</v>
      </c>
      <c r="E28">
        <v>218305.57956267809</v>
      </c>
      <c r="F28">
        <v>11</v>
      </c>
      <c r="G28" t="s">
        <v>156</v>
      </c>
      <c r="H28" t="s">
        <v>33</v>
      </c>
      <c r="I28" t="s">
        <v>34</v>
      </c>
      <c r="J28" t="s">
        <v>130</v>
      </c>
      <c r="K28" t="s">
        <v>36</v>
      </c>
      <c r="L28" t="s">
        <v>37</v>
      </c>
      <c r="M28" t="s">
        <v>157</v>
      </c>
      <c r="N28" t="s">
        <v>249</v>
      </c>
      <c r="R28">
        <v>9</v>
      </c>
      <c r="S28" t="s">
        <v>39</v>
      </c>
      <c r="T28" t="s">
        <v>40</v>
      </c>
      <c r="U28">
        <v>0</v>
      </c>
      <c r="V28">
        <v>76</v>
      </c>
      <c r="W28" t="s">
        <v>41</v>
      </c>
      <c r="X28" t="s">
        <v>42</v>
      </c>
      <c r="AB28" t="s">
        <v>43</v>
      </c>
      <c r="AC28" t="s">
        <v>74</v>
      </c>
      <c r="AD28" t="s">
        <v>45</v>
      </c>
      <c r="AE28">
        <v>0</v>
      </c>
      <c r="AG28">
        <v>0</v>
      </c>
      <c r="AI28" t="s">
        <v>158</v>
      </c>
      <c r="AJ28" t="s">
        <v>47</v>
      </c>
    </row>
    <row r="29" spans="1:36" hidden="1" x14ac:dyDescent="0.25">
      <c r="A29">
        <v>560</v>
      </c>
      <c r="B29">
        <v>47</v>
      </c>
      <c r="C29">
        <v>5969</v>
      </c>
      <c r="D29">
        <v>46</v>
      </c>
      <c r="E29">
        <v>123098.70784714349</v>
      </c>
      <c r="F29">
        <v>2</v>
      </c>
      <c r="G29" t="s">
        <v>162</v>
      </c>
      <c r="H29" t="s">
        <v>33</v>
      </c>
      <c r="I29" t="s">
        <v>34</v>
      </c>
      <c r="J29" t="s">
        <v>163</v>
      </c>
      <c r="K29" t="s">
        <v>36</v>
      </c>
      <c r="L29" t="s">
        <v>37</v>
      </c>
      <c r="M29" t="s">
        <v>164</v>
      </c>
      <c r="N29" t="s">
        <v>247</v>
      </c>
      <c r="R29">
        <v>6</v>
      </c>
      <c r="S29" t="s">
        <v>39</v>
      </c>
      <c r="T29" t="s">
        <v>40</v>
      </c>
      <c r="U29">
        <v>0</v>
      </c>
      <c r="V29">
        <v>55</v>
      </c>
      <c r="W29" t="s">
        <v>41</v>
      </c>
      <c r="X29" t="s">
        <v>42</v>
      </c>
      <c r="AB29" t="s">
        <v>43</v>
      </c>
      <c r="AC29" t="s">
        <v>58</v>
      </c>
      <c r="AD29" t="s">
        <v>45</v>
      </c>
      <c r="AE29">
        <v>0</v>
      </c>
      <c r="AG29">
        <v>0</v>
      </c>
      <c r="AI29" t="s">
        <v>165</v>
      </c>
      <c r="AJ29" t="s">
        <v>47</v>
      </c>
    </row>
    <row r="30" spans="1:36" hidden="1" x14ac:dyDescent="0.25">
      <c r="A30">
        <v>564</v>
      </c>
      <c r="B30">
        <v>63</v>
      </c>
      <c r="C30">
        <v>5978</v>
      </c>
      <c r="D30">
        <v>61</v>
      </c>
      <c r="E30">
        <v>66014.031962385459</v>
      </c>
      <c r="F30">
        <v>7</v>
      </c>
      <c r="G30" t="s">
        <v>166</v>
      </c>
      <c r="H30" t="s">
        <v>33</v>
      </c>
      <c r="I30" t="s">
        <v>34</v>
      </c>
      <c r="J30" t="s">
        <v>167</v>
      </c>
      <c r="K30" t="s">
        <v>36</v>
      </c>
      <c r="L30" t="s">
        <v>37</v>
      </c>
      <c r="M30" t="s">
        <v>168</v>
      </c>
      <c r="N30" t="s">
        <v>246</v>
      </c>
      <c r="R30">
        <v>4</v>
      </c>
      <c r="S30" t="s">
        <v>39</v>
      </c>
      <c r="T30" t="s">
        <v>40</v>
      </c>
      <c r="U30">
        <v>0</v>
      </c>
      <c r="V30">
        <v>74</v>
      </c>
      <c r="W30" t="s">
        <v>41</v>
      </c>
      <c r="X30" t="s">
        <v>42</v>
      </c>
      <c r="AB30" t="s">
        <v>43</v>
      </c>
      <c r="AC30" t="s">
        <v>74</v>
      </c>
      <c r="AD30" t="s">
        <v>45</v>
      </c>
      <c r="AE30">
        <v>0</v>
      </c>
      <c r="AG30">
        <v>0</v>
      </c>
      <c r="AI30" t="s">
        <v>169</v>
      </c>
      <c r="AJ30" t="s">
        <v>47</v>
      </c>
    </row>
    <row r="31" spans="1:36" hidden="1" x14ac:dyDescent="0.25">
      <c r="A31">
        <v>570</v>
      </c>
      <c r="B31">
        <v>0</v>
      </c>
      <c r="C31">
        <v>5984</v>
      </c>
      <c r="D31">
        <v>0</v>
      </c>
      <c r="E31">
        <v>21851859.880891751</v>
      </c>
      <c r="F31">
        <v>0</v>
      </c>
      <c r="G31" t="s">
        <v>170</v>
      </c>
      <c r="H31" t="s">
        <v>33</v>
      </c>
      <c r="I31" t="s">
        <v>34</v>
      </c>
      <c r="J31" t="s">
        <v>122</v>
      </c>
      <c r="K31" t="s">
        <v>36</v>
      </c>
      <c r="L31" t="s">
        <v>37</v>
      </c>
      <c r="M31" t="s">
        <v>94</v>
      </c>
      <c r="N31" t="s">
        <v>94</v>
      </c>
      <c r="R31">
        <v>0</v>
      </c>
      <c r="S31" t="s">
        <v>39</v>
      </c>
      <c r="T31" t="s">
        <v>40</v>
      </c>
      <c r="U31">
        <v>0</v>
      </c>
      <c r="V31">
        <v>0</v>
      </c>
      <c r="W31" t="s">
        <v>41</v>
      </c>
      <c r="X31" t="s">
        <v>42</v>
      </c>
      <c r="AB31" t="s">
        <v>43</v>
      </c>
      <c r="AC31" t="s">
        <v>95</v>
      </c>
      <c r="AD31" t="s">
        <v>45</v>
      </c>
      <c r="AE31">
        <v>0</v>
      </c>
      <c r="AG31">
        <v>0</v>
      </c>
      <c r="AI31" t="s">
        <v>171</v>
      </c>
      <c r="AJ31" t="s">
        <v>47</v>
      </c>
    </row>
    <row r="32" spans="1:36" hidden="1" x14ac:dyDescent="0.25">
      <c r="A32">
        <v>634</v>
      </c>
      <c r="B32">
        <v>65</v>
      </c>
      <c r="C32">
        <v>6047</v>
      </c>
      <c r="D32">
        <v>65</v>
      </c>
      <c r="E32">
        <v>410392.30754510901</v>
      </c>
      <c r="F32">
        <v>9</v>
      </c>
      <c r="G32" t="s">
        <v>183</v>
      </c>
      <c r="H32" t="s">
        <v>33</v>
      </c>
      <c r="I32" t="s">
        <v>34</v>
      </c>
      <c r="J32" t="s">
        <v>102</v>
      </c>
      <c r="K32" t="s">
        <v>36</v>
      </c>
      <c r="L32" t="s">
        <v>37</v>
      </c>
      <c r="M32" t="s">
        <v>184</v>
      </c>
      <c r="N32" t="s">
        <v>249</v>
      </c>
      <c r="R32">
        <v>7</v>
      </c>
      <c r="S32" t="s">
        <v>39</v>
      </c>
      <c r="T32" t="s">
        <v>40</v>
      </c>
      <c r="U32">
        <v>0</v>
      </c>
      <c r="V32">
        <v>81</v>
      </c>
      <c r="W32" t="s">
        <v>41</v>
      </c>
      <c r="X32" t="s">
        <v>42</v>
      </c>
      <c r="AB32" t="s">
        <v>43</v>
      </c>
      <c r="AC32" t="s">
        <v>116</v>
      </c>
      <c r="AD32" t="s">
        <v>45</v>
      </c>
      <c r="AE32">
        <v>0</v>
      </c>
      <c r="AG32">
        <v>0</v>
      </c>
      <c r="AI32" t="s">
        <v>185</v>
      </c>
      <c r="AJ32" t="s">
        <v>47</v>
      </c>
    </row>
    <row r="33" spans="1:36" hidden="1" x14ac:dyDescent="0.25">
      <c r="A33">
        <v>667</v>
      </c>
      <c r="B33">
        <v>65</v>
      </c>
      <c r="C33">
        <v>6085</v>
      </c>
      <c r="D33">
        <v>60</v>
      </c>
      <c r="E33">
        <v>226637.26350434529</v>
      </c>
      <c r="F33">
        <v>2</v>
      </c>
      <c r="G33" t="s">
        <v>191</v>
      </c>
      <c r="H33" t="s">
        <v>33</v>
      </c>
      <c r="I33" t="s">
        <v>34</v>
      </c>
      <c r="J33" t="s">
        <v>192</v>
      </c>
      <c r="K33" t="s">
        <v>36</v>
      </c>
      <c r="L33" t="s">
        <v>37</v>
      </c>
      <c r="M33" t="s">
        <v>193</v>
      </c>
      <c r="N33" t="s">
        <v>246</v>
      </c>
      <c r="R33">
        <v>5</v>
      </c>
      <c r="S33" t="s">
        <v>39</v>
      </c>
      <c r="T33" t="s">
        <v>40</v>
      </c>
      <c r="U33">
        <v>0</v>
      </c>
      <c r="V33">
        <v>72</v>
      </c>
      <c r="W33" t="s">
        <v>41</v>
      </c>
      <c r="X33" t="s">
        <v>42</v>
      </c>
      <c r="AB33" t="s">
        <v>43</v>
      </c>
      <c r="AC33" t="s">
        <v>53</v>
      </c>
      <c r="AD33" t="s">
        <v>45</v>
      </c>
      <c r="AE33">
        <v>0</v>
      </c>
      <c r="AG33">
        <v>0</v>
      </c>
      <c r="AI33" t="s">
        <v>194</v>
      </c>
      <c r="AJ33" t="s">
        <v>47</v>
      </c>
    </row>
    <row r="34" spans="1:36" hidden="1" x14ac:dyDescent="0.25">
      <c r="A34">
        <v>680</v>
      </c>
      <c r="B34">
        <v>45</v>
      </c>
      <c r="C34">
        <v>6098</v>
      </c>
      <c r="D34">
        <v>42</v>
      </c>
      <c r="E34">
        <v>115420.4750425573</v>
      </c>
      <c r="F34">
        <v>5</v>
      </c>
      <c r="G34" t="s">
        <v>198</v>
      </c>
      <c r="H34" t="s">
        <v>33</v>
      </c>
      <c r="I34" t="s">
        <v>34</v>
      </c>
      <c r="J34" t="s">
        <v>199</v>
      </c>
      <c r="K34" t="s">
        <v>36</v>
      </c>
      <c r="L34" t="s">
        <v>37</v>
      </c>
      <c r="M34" t="s">
        <v>200</v>
      </c>
      <c r="N34" t="s">
        <v>248</v>
      </c>
      <c r="R34">
        <v>4</v>
      </c>
      <c r="S34" t="s">
        <v>39</v>
      </c>
      <c r="T34" t="s">
        <v>40</v>
      </c>
      <c r="U34">
        <v>0</v>
      </c>
      <c r="V34">
        <v>54</v>
      </c>
      <c r="W34" t="s">
        <v>41</v>
      </c>
      <c r="X34" t="s">
        <v>42</v>
      </c>
      <c r="AB34" t="s">
        <v>43</v>
      </c>
      <c r="AC34" t="s">
        <v>74</v>
      </c>
      <c r="AD34" t="s">
        <v>45</v>
      </c>
      <c r="AE34">
        <v>0</v>
      </c>
      <c r="AG34">
        <v>0</v>
      </c>
      <c r="AI34" t="s">
        <v>201</v>
      </c>
      <c r="AJ34" t="s">
        <v>47</v>
      </c>
    </row>
    <row r="35" spans="1:36" hidden="1" x14ac:dyDescent="0.25">
      <c r="A35">
        <v>681</v>
      </c>
      <c r="B35">
        <v>85</v>
      </c>
      <c r="C35">
        <v>6099</v>
      </c>
      <c r="D35">
        <v>83</v>
      </c>
      <c r="E35">
        <v>169522.13231831891</v>
      </c>
      <c r="F35">
        <v>24</v>
      </c>
      <c r="G35" t="s">
        <v>202</v>
      </c>
      <c r="H35" t="s">
        <v>33</v>
      </c>
      <c r="I35" t="s">
        <v>34</v>
      </c>
      <c r="J35" t="s">
        <v>187</v>
      </c>
      <c r="K35" t="s">
        <v>36</v>
      </c>
      <c r="L35" t="s">
        <v>37</v>
      </c>
      <c r="M35" t="s">
        <v>203</v>
      </c>
      <c r="N35" t="s">
        <v>246</v>
      </c>
      <c r="R35">
        <v>4</v>
      </c>
      <c r="S35" t="s">
        <v>39</v>
      </c>
      <c r="T35" t="s">
        <v>40</v>
      </c>
      <c r="U35">
        <v>0</v>
      </c>
      <c r="V35">
        <v>113</v>
      </c>
      <c r="W35" t="s">
        <v>41</v>
      </c>
      <c r="X35" t="s">
        <v>42</v>
      </c>
      <c r="AB35" t="s">
        <v>43</v>
      </c>
      <c r="AC35" t="s">
        <v>132</v>
      </c>
      <c r="AD35" t="s">
        <v>45</v>
      </c>
      <c r="AE35">
        <v>0</v>
      </c>
      <c r="AG35">
        <v>0</v>
      </c>
      <c r="AI35" t="s">
        <v>204</v>
      </c>
      <c r="AJ35" t="s">
        <v>47</v>
      </c>
    </row>
    <row r="36" spans="1:36" hidden="1" x14ac:dyDescent="0.25">
      <c r="A36">
        <v>788</v>
      </c>
      <c r="B36">
        <v>45</v>
      </c>
      <c r="C36">
        <v>6212</v>
      </c>
      <c r="D36">
        <v>42</v>
      </c>
      <c r="E36">
        <v>366712.30916200421</v>
      </c>
      <c r="F36">
        <v>12</v>
      </c>
      <c r="G36" t="s">
        <v>211</v>
      </c>
      <c r="H36" t="s">
        <v>33</v>
      </c>
      <c r="I36" t="s">
        <v>34</v>
      </c>
      <c r="J36" t="s">
        <v>150</v>
      </c>
      <c r="K36" t="s">
        <v>36</v>
      </c>
      <c r="L36" t="s">
        <v>37</v>
      </c>
      <c r="M36" t="s">
        <v>212</v>
      </c>
      <c r="N36" t="s">
        <v>249</v>
      </c>
      <c r="R36">
        <v>12</v>
      </c>
      <c r="S36" t="s">
        <v>39</v>
      </c>
      <c r="T36" t="s">
        <v>40</v>
      </c>
      <c r="U36">
        <v>0</v>
      </c>
      <c r="V36">
        <v>69</v>
      </c>
      <c r="W36" t="s">
        <v>41</v>
      </c>
      <c r="X36" t="s">
        <v>42</v>
      </c>
      <c r="AB36" t="s">
        <v>43</v>
      </c>
      <c r="AC36" t="s">
        <v>74</v>
      </c>
      <c r="AD36" t="s">
        <v>45</v>
      </c>
      <c r="AE36">
        <v>0</v>
      </c>
      <c r="AG36">
        <v>0</v>
      </c>
      <c r="AI36" t="s">
        <v>213</v>
      </c>
      <c r="AJ36" t="s">
        <v>47</v>
      </c>
    </row>
    <row r="37" spans="1:36" hidden="1" x14ac:dyDescent="0.25">
      <c r="A37">
        <v>889</v>
      </c>
      <c r="B37">
        <v>51</v>
      </c>
      <c r="C37">
        <v>6318</v>
      </c>
      <c r="D37">
        <v>51</v>
      </c>
      <c r="E37">
        <v>156265.1662104865</v>
      </c>
      <c r="F37">
        <v>6</v>
      </c>
      <c r="G37" t="s">
        <v>218</v>
      </c>
      <c r="H37" t="s">
        <v>33</v>
      </c>
      <c r="I37" t="s">
        <v>34</v>
      </c>
      <c r="J37" t="s">
        <v>114</v>
      </c>
      <c r="K37" t="s">
        <v>36</v>
      </c>
      <c r="L37" t="s">
        <v>37</v>
      </c>
      <c r="M37" t="s">
        <v>219</v>
      </c>
      <c r="N37" t="s">
        <v>246</v>
      </c>
      <c r="R37">
        <v>8</v>
      </c>
      <c r="S37" t="s">
        <v>39</v>
      </c>
      <c r="T37" t="s">
        <v>40</v>
      </c>
      <c r="U37">
        <v>0</v>
      </c>
      <c r="V37">
        <v>65</v>
      </c>
      <c r="W37" t="s">
        <v>41</v>
      </c>
      <c r="X37" t="s">
        <v>42</v>
      </c>
      <c r="AB37" t="s">
        <v>43</v>
      </c>
      <c r="AC37" t="s">
        <v>53</v>
      </c>
      <c r="AD37" t="s">
        <v>45</v>
      </c>
      <c r="AE37">
        <v>0</v>
      </c>
      <c r="AG37">
        <v>0</v>
      </c>
      <c r="AI37" t="s">
        <v>220</v>
      </c>
      <c r="AJ37" t="s">
        <v>47</v>
      </c>
    </row>
    <row r="38" spans="1:36" hidden="1" x14ac:dyDescent="0.25">
      <c r="A38">
        <v>890</v>
      </c>
      <c r="B38">
        <v>42</v>
      </c>
      <c r="C38">
        <v>6319</v>
      </c>
      <c r="D38">
        <v>40</v>
      </c>
      <c r="E38">
        <v>69054.391003195196</v>
      </c>
      <c r="F38">
        <v>0</v>
      </c>
      <c r="G38" t="s">
        <v>221</v>
      </c>
      <c r="H38" t="s">
        <v>33</v>
      </c>
      <c r="I38" t="s">
        <v>34</v>
      </c>
      <c r="J38" t="s">
        <v>222</v>
      </c>
      <c r="K38" t="s">
        <v>36</v>
      </c>
      <c r="L38" t="s">
        <v>37</v>
      </c>
      <c r="M38" t="s">
        <v>223</v>
      </c>
      <c r="N38" t="s">
        <v>248</v>
      </c>
      <c r="R38">
        <v>3</v>
      </c>
      <c r="S38" t="s">
        <v>39</v>
      </c>
      <c r="T38" t="s">
        <v>40</v>
      </c>
      <c r="U38">
        <v>0</v>
      </c>
      <c r="V38">
        <v>45</v>
      </c>
      <c r="W38" t="s">
        <v>41</v>
      </c>
      <c r="X38" t="s">
        <v>42</v>
      </c>
      <c r="AB38" t="s">
        <v>43</v>
      </c>
      <c r="AC38" t="s">
        <v>53</v>
      </c>
      <c r="AD38" t="s">
        <v>45</v>
      </c>
      <c r="AE38">
        <v>0</v>
      </c>
      <c r="AG38">
        <v>0</v>
      </c>
      <c r="AI38" t="s">
        <v>224</v>
      </c>
      <c r="AJ38" t="s">
        <v>47</v>
      </c>
    </row>
    <row r="39" spans="1:36" hidden="1" x14ac:dyDescent="0.25">
      <c r="A39">
        <v>952</v>
      </c>
      <c r="B39">
        <v>49</v>
      </c>
      <c r="C39">
        <v>6385</v>
      </c>
      <c r="D39">
        <v>42</v>
      </c>
      <c r="E39">
        <v>37036.072367593217</v>
      </c>
      <c r="F39">
        <v>4</v>
      </c>
      <c r="G39" t="s">
        <v>228</v>
      </c>
      <c r="H39" t="s">
        <v>33</v>
      </c>
      <c r="I39" t="s">
        <v>34</v>
      </c>
      <c r="J39" t="s">
        <v>229</v>
      </c>
      <c r="K39" t="s">
        <v>36</v>
      </c>
      <c r="L39" t="s">
        <v>37</v>
      </c>
      <c r="M39" t="s">
        <v>230</v>
      </c>
      <c r="N39" t="s">
        <v>247</v>
      </c>
      <c r="R39">
        <v>0</v>
      </c>
      <c r="S39" t="s">
        <v>39</v>
      </c>
      <c r="T39" t="s">
        <v>40</v>
      </c>
      <c r="U39">
        <v>0</v>
      </c>
      <c r="V39">
        <v>53</v>
      </c>
      <c r="W39" t="s">
        <v>41</v>
      </c>
      <c r="X39" t="s">
        <v>42</v>
      </c>
      <c r="AB39" t="s">
        <v>43</v>
      </c>
      <c r="AC39" t="s">
        <v>58</v>
      </c>
      <c r="AD39" t="s">
        <v>45</v>
      </c>
      <c r="AE39">
        <v>0</v>
      </c>
      <c r="AG39">
        <v>0</v>
      </c>
      <c r="AI39" t="s">
        <v>231</v>
      </c>
      <c r="AJ39" t="s">
        <v>47</v>
      </c>
    </row>
    <row r="40" spans="1:36" hidden="1" x14ac:dyDescent="0.25">
      <c r="A40">
        <v>1013</v>
      </c>
      <c r="B40">
        <v>45</v>
      </c>
      <c r="C40">
        <v>6451</v>
      </c>
      <c r="D40">
        <v>42</v>
      </c>
      <c r="E40">
        <v>615478.3384196097</v>
      </c>
      <c r="F40">
        <v>6</v>
      </c>
      <c r="G40" t="s">
        <v>235</v>
      </c>
      <c r="H40" t="s">
        <v>33</v>
      </c>
      <c r="I40" t="s">
        <v>34</v>
      </c>
      <c r="J40" t="s">
        <v>236</v>
      </c>
      <c r="K40" t="s">
        <v>36</v>
      </c>
      <c r="L40" t="s">
        <v>37</v>
      </c>
      <c r="M40" t="s">
        <v>237</v>
      </c>
      <c r="N40" t="s">
        <v>247</v>
      </c>
      <c r="R40">
        <v>2</v>
      </c>
      <c r="S40" t="s">
        <v>39</v>
      </c>
      <c r="T40" t="s">
        <v>40</v>
      </c>
      <c r="U40">
        <v>0</v>
      </c>
      <c r="V40">
        <v>53</v>
      </c>
      <c r="W40" t="s">
        <v>41</v>
      </c>
      <c r="X40" t="s">
        <v>42</v>
      </c>
      <c r="AB40" t="s">
        <v>43</v>
      </c>
      <c r="AC40" t="s">
        <v>74</v>
      </c>
      <c r="AD40" t="s">
        <v>45</v>
      </c>
      <c r="AE40">
        <v>0</v>
      </c>
      <c r="AG40">
        <v>0</v>
      </c>
      <c r="AI40" t="s">
        <v>238</v>
      </c>
      <c r="AJ40" t="s">
        <v>47</v>
      </c>
    </row>
    <row r="41" spans="1:36" hidden="1" x14ac:dyDescent="0.25">
      <c r="A41">
        <v>22</v>
      </c>
      <c r="B41">
        <v>50</v>
      </c>
      <c r="C41">
        <v>6460</v>
      </c>
      <c r="D41">
        <v>39</v>
      </c>
      <c r="E41">
        <v>21134.029209335571</v>
      </c>
      <c r="F41">
        <v>6</v>
      </c>
      <c r="G41" t="s">
        <v>48</v>
      </c>
      <c r="H41" t="s">
        <v>33</v>
      </c>
      <c r="I41" t="s">
        <v>34</v>
      </c>
      <c r="J41" t="s">
        <v>49</v>
      </c>
      <c r="K41" t="s">
        <v>36</v>
      </c>
      <c r="L41" t="s">
        <v>37</v>
      </c>
      <c r="M41" t="s">
        <v>50</v>
      </c>
      <c r="N41" t="s">
        <v>250</v>
      </c>
      <c r="R41">
        <v>1</v>
      </c>
      <c r="S41" t="s">
        <v>51</v>
      </c>
      <c r="T41" t="s">
        <v>40</v>
      </c>
      <c r="U41">
        <v>0</v>
      </c>
      <c r="V41">
        <v>57</v>
      </c>
      <c r="W41" t="s">
        <v>52</v>
      </c>
      <c r="X41" t="s">
        <v>42</v>
      </c>
      <c r="AB41" t="s">
        <v>43</v>
      </c>
      <c r="AC41" t="s">
        <v>53</v>
      </c>
      <c r="AD41" t="s">
        <v>45</v>
      </c>
      <c r="AE41">
        <v>0</v>
      </c>
      <c r="AG41">
        <v>0</v>
      </c>
      <c r="AI41" t="s">
        <v>54</v>
      </c>
      <c r="AJ41" t="s">
        <v>47</v>
      </c>
    </row>
    <row r="42" spans="1:36" hidden="1" x14ac:dyDescent="0.25">
      <c r="A42">
        <v>175</v>
      </c>
      <c r="B42">
        <v>35</v>
      </c>
      <c r="C42">
        <v>5574</v>
      </c>
      <c r="D42">
        <v>28</v>
      </c>
      <c r="E42">
        <v>15434.039128039291</v>
      </c>
      <c r="F42">
        <v>5</v>
      </c>
      <c r="G42" t="s">
        <v>68</v>
      </c>
      <c r="H42" t="s">
        <v>33</v>
      </c>
      <c r="I42" t="s">
        <v>34</v>
      </c>
      <c r="J42" t="s">
        <v>35</v>
      </c>
      <c r="K42" t="s">
        <v>36</v>
      </c>
      <c r="L42" t="s">
        <v>37</v>
      </c>
      <c r="M42" t="s">
        <v>69</v>
      </c>
      <c r="N42" t="s">
        <v>250</v>
      </c>
      <c r="R42">
        <v>1</v>
      </c>
      <c r="S42" t="s">
        <v>51</v>
      </c>
      <c r="T42" t="s">
        <v>40</v>
      </c>
      <c r="U42">
        <v>0</v>
      </c>
      <c r="V42">
        <v>41</v>
      </c>
      <c r="W42" t="s">
        <v>52</v>
      </c>
      <c r="X42" t="s">
        <v>42</v>
      </c>
      <c r="AB42" t="s">
        <v>43</v>
      </c>
      <c r="AC42" t="s">
        <v>53</v>
      </c>
      <c r="AD42" t="s">
        <v>45</v>
      </c>
      <c r="AE42">
        <v>0</v>
      </c>
      <c r="AG42">
        <v>0</v>
      </c>
      <c r="AI42" t="s">
        <v>70</v>
      </c>
      <c r="AJ42" t="s">
        <v>47</v>
      </c>
    </row>
    <row r="43" spans="1:36" hidden="1" x14ac:dyDescent="0.25">
      <c r="A43">
        <v>263</v>
      </c>
      <c r="B43">
        <v>0</v>
      </c>
      <c r="C43">
        <v>5658</v>
      </c>
      <c r="D43">
        <v>0</v>
      </c>
      <c r="E43">
        <v>111716867.58608571</v>
      </c>
      <c r="F43">
        <v>0</v>
      </c>
      <c r="G43" t="s">
        <v>92</v>
      </c>
      <c r="H43" t="s">
        <v>33</v>
      </c>
      <c r="I43" t="s">
        <v>34</v>
      </c>
      <c r="J43" t="s">
        <v>93</v>
      </c>
      <c r="K43" t="s">
        <v>36</v>
      </c>
      <c r="L43" t="s">
        <v>37</v>
      </c>
      <c r="M43" t="s">
        <v>94</v>
      </c>
      <c r="N43" t="s">
        <v>94</v>
      </c>
      <c r="R43">
        <v>0</v>
      </c>
      <c r="S43" t="s">
        <v>51</v>
      </c>
      <c r="T43" t="s">
        <v>40</v>
      </c>
      <c r="U43">
        <v>0</v>
      </c>
      <c r="V43">
        <v>0</v>
      </c>
      <c r="W43" t="s">
        <v>52</v>
      </c>
      <c r="X43" t="s">
        <v>42</v>
      </c>
      <c r="AB43" t="s">
        <v>43</v>
      </c>
      <c r="AC43" t="s">
        <v>95</v>
      </c>
      <c r="AD43" t="s">
        <v>45</v>
      </c>
      <c r="AE43">
        <v>0</v>
      </c>
      <c r="AG43">
        <v>0</v>
      </c>
      <c r="AI43" t="s">
        <v>96</v>
      </c>
      <c r="AJ43" t="s">
        <v>47</v>
      </c>
    </row>
    <row r="44" spans="1:36" hidden="1" x14ac:dyDescent="0.25">
      <c r="A44">
        <v>324</v>
      </c>
      <c r="B44">
        <v>39</v>
      </c>
      <c r="C44">
        <v>5727</v>
      </c>
      <c r="D44">
        <v>39</v>
      </c>
      <c r="E44">
        <v>12627.44360669</v>
      </c>
      <c r="F44">
        <v>3</v>
      </c>
      <c r="G44" t="s">
        <v>110</v>
      </c>
      <c r="H44" t="s">
        <v>33</v>
      </c>
      <c r="I44" t="s">
        <v>34</v>
      </c>
      <c r="J44" t="s">
        <v>65</v>
      </c>
      <c r="K44" t="s">
        <v>36</v>
      </c>
      <c r="L44" t="s">
        <v>37</v>
      </c>
      <c r="M44" t="s">
        <v>111</v>
      </c>
      <c r="N44" t="s">
        <v>250</v>
      </c>
      <c r="R44">
        <v>0</v>
      </c>
      <c r="S44" t="s">
        <v>51</v>
      </c>
      <c r="T44" t="s">
        <v>40</v>
      </c>
      <c r="U44">
        <v>0</v>
      </c>
      <c r="V44">
        <v>42</v>
      </c>
      <c r="W44" t="s">
        <v>52</v>
      </c>
      <c r="X44" t="s">
        <v>42</v>
      </c>
      <c r="AB44" t="s">
        <v>43</v>
      </c>
      <c r="AC44" t="s">
        <v>53</v>
      </c>
      <c r="AD44" t="s">
        <v>45</v>
      </c>
      <c r="AE44">
        <v>0</v>
      </c>
      <c r="AG44">
        <v>0</v>
      </c>
      <c r="AI44" t="s">
        <v>112</v>
      </c>
      <c r="AJ44" t="s">
        <v>47</v>
      </c>
    </row>
    <row r="45" spans="1:36" hidden="1" x14ac:dyDescent="0.25">
      <c r="A45">
        <v>346</v>
      </c>
      <c r="B45">
        <v>79</v>
      </c>
      <c r="C45">
        <v>5748</v>
      </c>
      <c r="D45">
        <v>79</v>
      </c>
      <c r="E45">
        <v>418901.9290651108</v>
      </c>
      <c r="F45">
        <v>22</v>
      </c>
      <c r="G45" t="s">
        <v>113</v>
      </c>
      <c r="H45" t="s">
        <v>33</v>
      </c>
      <c r="I45" t="s">
        <v>34</v>
      </c>
      <c r="J45" t="s">
        <v>114</v>
      </c>
      <c r="K45" t="s">
        <v>36</v>
      </c>
      <c r="L45" t="s">
        <v>37</v>
      </c>
      <c r="M45" t="s">
        <v>115</v>
      </c>
      <c r="N45" t="s">
        <v>251</v>
      </c>
      <c r="R45">
        <v>3</v>
      </c>
      <c r="S45" t="s">
        <v>51</v>
      </c>
      <c r="T45" t="s">
        <v>40</v>
      </c>
      <c r="U45">
        <v>0</v>
      </c>
      <c r="V45">
        <v>104</v>
      </c>
      <c r="W45" t="s">
        <v>52</v>
      </c>
      <c r="X45" t="s">
        <v>42</v>
      </c>
      <c r="AB45" t="s">
        <v>43</v>
      </c>
      <c r="AC45" t="s">
        <v>116</v>
      </c>
      <c r="AD45" t="s">
        <v>45</v>
      </c>
      <c r="AE45">
        <v>0</v>
      </c>
      <c r="AG45">
        <v>0</v>
      </c>
      <c r="AI45" t="s">
        <v>117</v>
      </c>
      <c r="AJ45" t="s">
        <v>47</v>
      </c>
    </row>
    <row r="46" spans="1:36" hidden="1" x14ac:dyDescent="0.25">
      <c r="A46">
        <v>373</v>
      </c>
      <c r="B46">
        <v>0</v>
      </c>
      <c r="C46">
        <v>5777</v>
      </c>
      <c r="D46">
        <v>0</v>
      </c>
      <c r="E46">
        <v>10980836.97348565</v>
      </c>
      <c r="F46">
        <v>0</v>
      </c>
      <c r="G46" t="s">
        <v>121</v>
      </c>
      <c r="H46" t="s">
        <v>33</v>
      </c>
      <c r="I46" t="s">
        <v>34</v>
      </c>
      <c r="J46" t="s">
        <v>122</v>
      </c>
      <c r="K46" t="s">
        <v>36</v>
      </c>
      <c r="L46" t="s">
        <v>37</v>
      </c>
      <c r="M46" t="s">
        <v>94</v>
      </c>
      <c r="N46" t="s">
        <v>94</v>
      </c>
      <c r="R46">
        <v>0</v>
      </c>
      <c r="S46" t="s">
        <v>51</v>
      </c>
      <c r="T46" t="s">
        <v>40</v>
      </c>
      <c r="U46">
        <v>0</v>
      </c>
      <c r="V46">
        <v>0</v>
      </c>
      <c r="W46" t="s">
        <v>52</v>
      </c>
      <c r="X46" t="s">
        <v>42</v>
      </c>
      <c r="AB46" t="s">
        <v>43</v>
      </c>
      <c r="AC46" t="s">
        <v>95</v>
      </c>
      <c r="AD46" t="s">
        <v>45</v>
      </c>
      <c r="AE46">
        <v>0</v>
      </c>
      <c r="AG46">
        <v>0</v>
      </c>
      <c r="AI46" t="s">
        <v>123</v>
      </c>
      <c r="AJ46" t="s">
        <v>47</v>
      </c>
    </row>
    <row r="47" spans="1:36" hidden="1" x14ac:dyDescent="0.25">
      <c r="A47">
        <v>473</v>
      </c>
      <c r="B47">
        <v>0</v>
      </c>
      <c r="C47">
        <v>5879</v>
      </c>
      <c r="D47">
        <v>0</v>
      </c>
      <c r="E47">
        <v>18503086.47275202</v>
      </c>
      <c r="F47">
        <v>0</v>
      </c>
      <c r="G47" t="s">
        <v>147</v>
      </c>
      <c r="H47" t="s">
        <v>33</v>
      </c>
      <c r="I47" t="s">
        <v>34</v>
      </c>
      <c r="J47" t="s">
        <v>119</v>
      </c>
      <c r="K47" t="s">
        <v>36</v>
      </c>
      <c r="L47" t="s">
        <v>37</v>
      </c>
      <c r="M47" t="s">
        <v>94</v>
      </c>
      <c r="N47" t="s">
        <v>94</v>
      </c>
      <c r="R47">
        <v>0</v>
      </c>
      <c r="S47" t="s">
        <v>51</v>
      </c>
      <c r="T47" t="s">
        <v>40</v>
      </c>
      <c r="U47">
        <v>0</v>
      </c>
      <c r="V47">
        <v>0</v>
      </c>
      <c r="W47" t="s">
        <v>52</v>
      </c>
      <c r="X47" t="s">
        <v>42</v>
      </c>
      <c r="AB47" t="s">
        <v>43</v>
      </c>
      <c r="AC47" t="s">
        <v>95</v>
      </c>
      <c r="AD47" t="s">
        <v>45</v>
      </c>
      <c r="AE47">
        <v>0</v>
      </c>
      <c r="AG47">
        <v>0</v>
      </c>
      <c r="AI47" t="s">
        <v>148</v>
      </c>
      <c r="AJ47" t="s">
        <v>47</v>
      </c>
    </row>
    <row r="48" spans="1:36" hidden="1" x14ac:dyDescent="0.25">
      <c r="A48">
        <v>550</v>
      </c>
      <c r="B48">
        <v>80</v>
      </c>
      <c r="C48">
        <v>5963</v>
      </c>
      <c r="D48">
        <v>65</v>
      </c>
      <c r="E48">
        <v>237706.7847111421</v>
      </c>
      <c r="F48">
        <v>4</v>
      </c>
      <c r="G48" t="s">
        <v>159</v>
      </c>
      <c r="H48" t="s">
        <v>33</v>
      </c>
      <c r="I48" t="s">
        <v>34</v>
      </c>
      <c r="J48" t="s">
        <v>150</v>
      </c>
      <c r="K48" t="s">
        <v>36</v>
      </c>
      <c r="L48" t="s">
        <v>37</v>
      </c>
      <c r="M48" t="s">
        <v>160</v>
      </c>
      <c r="N48" t="s">
        <v>252</v>
      </c>
      <c r="R48">
        <v>3</v>
      </c>
      <c r="S48" t="s">
        <v>51</v>
      </c>
      <c r="T48" t="s">
        <v>40</v>
      </c>
      <c r="U48">
        <v>0</v>
      </c>
      <c r="V48">
        <v>87</v>
      </c>
      <c r="W48" t="s">
        <v>52</v>
      </c>
      <c r="X48" t="s">
        <v>42</v>
      </c>
      <c r="AB48" t="s">
        <v>43</v>
      </c>
      <c r="AC48" t="s">
        <v>53</v>
      </c>
      <c r="AD48" t="s">
        <v>45</v>
      </c>
      <c r="AE48">
        <v>0</v>
      </c>
      <c r="AG48">
        <v>0</v>
      </c>
      <c r="AI48" t="s">
        <v>161</v>
      </c>
      <c r="AJ48" t="s">
        <v>47</v>
      </c>
    </row>
    <row r="49" spans="1:36" hidden="1" x14ac:dyDescent="0.25">
      <c r="A49">
        <v>661</v>
      </c>
      <c r="B49">
        <v>47</v>
      </c>
      <c r="C49">
        <v>6078</v>
      </c>
      <c r="D49">
        <v>47</v>
      </c>
      <c r="E49">
        <v>36846.417861542257</v>
      </c>
      <c r="F49">
        <v>8</v>
      </c>
      <c r="G49" t="s">
        <v>186</v>
      </c>
      <c r="H49" t="s">
        <v>33</v>
      </c>
      <c r="I49" t="s">
        <v>34</v>
      </c>
      <c r="J49" t="s">
        <v>187</v>
      </c>
      <c r="K49" t="s">
        <v>36</v>
      </c>
      <c r="L49" t="s">
        <v>37</v>
      </c>
      <c r="M49" t="s">
        <v>188</v>
      </c>
      <c r="N49" t="s">
        <v>250</v>
      </c>
      <c r="R49">
        <v>2</v>
      </c>
      <c r="S49" t="s">
        <v>51</v>
      </c>
      <c r="T49" t="s">
        <v>40</v>
      </c>
      <c r="U49">
        <v>0</v>
      </c>
      <c r="V49">
        <v>57</v>
      </c>
      <c r="W49" t="s">
        <v>52</v>
      </c>
      <c r="X49" t="s">
        <v>42</v>
      </c>
      <c r="AB49" t="s">
        <v>43</v>
      </c>
      <c r="AC49" t="s">
        <v>189</v>
      </c>
      <c r="AD49" t="s">
        <v>45</v>
      </c>
      <c r="AE49">
        <v>0</v>
      </c>
      <c r="AG49">
        <v>0</v>
      </c>
      <c r="AI49" t="s">
        <v>190</v>
      </c>
      <c r="AJ49" t="s">
        <v>47</v>
      </c>
    </row>
    <row r="50" spans="1:36" hidden="1" x14ac:dyDescent="0.25">
      <c r="A50">
        <v>678</v>
      </c>
      <c r="B50">
        <v>111</v>
      </c>
      <c r="C50">
        <v>6096</v>
      </c>
      <c r="D50">
        <v>108</v>
      </c>
      <c r="E50">
        <v>447994.96874747472</v>
      </c>
      <c r="F50">
        <v>23</v>
      </c>
      <c r="G50" t="s">
        <v>195</v>
      </c>
      <c r="H50" t="s">
        <v>33</v>
      </c>
      <c r="I50" t="s">
        <v>34</v>
      </c>
      <c r="J50" t="s">
        <v>130</v>
      </c>
      <c r="K50" t="s">
        <v>36</v>
      </c>
      <c r="L50" t="s">
        <v>37</v>
      </c>
      <c r="M50" t="s">
        <v>196</v>
      </c>
      <c r="N50" t="s">
        <v>252</v>
      </c>
      <c r="R50">
        <v>7</v>
      </c>
      <c r="S50" t="s">
        <v>51</v>
      </c>
      <c r="T50" t="s">
        <v>40</v>
      </c>
      <c r="U50">
        <v>0</v>
      </c>
      <c r="V50">
        <v>141</v>
      </c>
      <c r="W50" t="s">
        <v>52</v>
      </c>
      <c r="X50" t="s">
        <v>42</v>
      </c>
      <c r="AB50" t="s">
        <v>43</v>
      </c>
      <c r="AC50" t="s">
        <v>116</v>
      </c>
      <c r="AD50" t="s">
        <v>45</v>
      </c>
      <c r="AE50">
        <v>0</v>
      </c>
      <c r="AG50">
        <v>0</v>
      </c>
      <c r="AI50" t="s">
        <v>197</v>
      </c>
      <c r="AJ50" t="s">
        <v>47</v>
      </c>
    </row>
    <row r="51" spans="1:36" hidden="1" x14ac:dyDescent="0.25">
      <c r="A51">
        <v>727</v>
      </c>
      <c r="B51">
        <v>93</v>
      </c>
      <c r="C51">
        <v>6158</v>
      </c>
      <c r="D51">
        <v>93</v>
      </c>
      <c r="E51">
        <v>282226.60736673808</v>
      </c>
      <c r="F51">
        <v>21</v>
      </c>
      <c r="G51" t="s">
        <v>205</v>
      </c>
      <c r="H51" t="s">
        <v>33</v>
      </c>
      <c r="I51" t="s">
        <v>34</v>
      </c>
      <c r="J51" t="s">
        <v>77</v>
      </c>
      <c r="K51" t="s">
        <v>36</v>
      </c>
      <c r="L51" t="s">
        <v>37</v>
      </c>
      <c r="M51" t="s">
        <v>206</v>
      </c>
      <c r="N51" t="s">
        <v>251</v>
      </c>
      <c r="R51">
        <v>8</v>
      </c>
      <c r="S51" t="s">
        <v>51</v>
      </c>
      <c r="T51" t="s">
        <v>40</v>
      </c>
      <c r="U51">
        <v>0</v>
      </c>
      <c r="V51">
        <v>122</v>
      </c>
      <c r="W51" t="s">
        <v>52</v>
      </c>
      <c r="X51" t="s">
        <v>42</v>
      </c>
      <c r="AB51" t="s">
        <v>43</v>
      </c>
      <c r="AC51" t="s">
        <v>74</v>
      </c>
      <c r="AD51" t="s">
        <v>45</v>
      </c>
      <c r="AE51">
        <v>0</v>
      </c>
      <c r="AG51">
        <v>0</v>
      </c>
      <c r="AI51" t="s">
        <v>207</v>
      </c>
      <c r="AJ51" t="s">
        <v>47</v>
      </c>
    </row>
    <row r="52" spans="1:36" hidden="1" x14ac:dyDescent="0.25">
      <c r="A52">
        <v>747</v>
      </c>
      <c r="B52">
        <v>38</v>
      </c>
      <c r="C52">
        <v>6169</v>
      </c>
      <c r="D52">
        <v>30</v>
      </c>
      <c r="E52">
        <v>16169.32770384469</v>
      </c>
      <c r="F52">
        <v>4</v>
      </c>
      <c r="G52" t="s">
        <v>208</v>
      </c>
      <c r="H52" t="s">
        <v>33</v>
      </c>
      <c r="I52" t="s">
        <v>34</v>
      </c>
      <c r="J52" t="s">
        <v>102</v>
      </c>
      <c r="K52" t="s">
        <v>36</v>
      </c>
      <c r="L52" t="s">
        <v>37</v>
      </c>
      <c r="M52" t="s">
        <v>209</v>
      </c>
      <c r="N52" t="s">
        <v>250</v>
      </c>
      <c r="R52">
        <v>2</v>
      </c>
      <c r="S52" t="s">
        <v>51</v>
      </c>
      <c r="T52" t="s">
        <v>40</v>
      </c>
      <c r="U52">
        <v>0</v>
      </c>
      <c r="V52">
        <v>44</v>
      </c>
      <c r="W52" t="s">
        <v>52</v>
      </c>
      <c r="X52" t="s">
        <v>42</v>
      </c>
      <c r="AB52" t="s">
        <v>43</v>
      </c>
      <c r="AC52" t="s">
        <v>53</v>
      </c>
      <c r="AD52" t="s">
        <v>45</v>
      </c>
      <c r="AE52">
        <v>0</v>
      </c>
      <c r="AG52">
        <v>0</v>
      </c>
      <c r="AI52" t="s">
        <v>210</v>
      </c>
      <c r="AJ52" t="s">
        <v>47</v>
      </c>
    </row>
    <row r="53" spans="1:36" hidden="1" x14ac:dyDescent="0.25">
      <c r="A53">
        <v>885</v>
      </c>
      <c r="B53">
        <v>67</v>
      </c>
      <c r="C53">
        <v>6314</v>
      </c>
      <c r="D53">
        <v>54</v>
      </c>
      <c r="E53">
        <v>60959.795410955223</v>
      </c>
      <c r="F53">
        <v>12</v>
      </c>
      <c r="G53" t="s">
        <v>214</v>
      </c>
      <c r="H53" t="s">
        <v>33</v>
      </c>
      <c r="I53" t="s">
        <v>34</v>
      </c>
      <c r="J53" t="s">
        <v>125</v>
      </c>
      <c r="K53" t="s">
        <v>36</v>
      </c>
      <c r="L53" t="s">
        <v>37</v>
      </c>
      <c r="M53" t="s">
        <v>215</v>
      </c>
      <c r="N53" t="s">
        <v>250</v>
      </c>
      <c r="R53">
        <v>1</v>
      </c>
      <c r="S53" t="s">
        <v>51</v>
      </c>
      <c r="T53" t="s">
        <v>40</v>
      </c>
      <c r="U53">
        <v>0</v>
      </c>
      <c r="V53">
        <v>80</v>
      </c>
      <c r="W53" t="s">
        <v>52</v>
      </c>
      <c r="X53" t="s">
        <v>42</v>
      </c>
      <c r="AB53" t="s">
        <v>43</v>
      </c>
      <c r="AC53" t="s">
        <v>216</v>
      </c>
      <c r="AD53" t="s">
        <v>45</v>
      </c>
      <c r="AE53">
        <v>0</v>
      </c>
      <c r="AG53">
        <v>0</v>
      </c>
      <c r="AI53" t="s">
        <v>217</v>
      </c>
      <c r="AJ53" t="s">
        <v>47</v>
      </c>
    </row>
    <row r="54" spans="1:36" hidden="1" x14ac:dyDescent="0.25">
      <c r="A54">
        <v>964</v>
      </c>
      <c r="B54">
        <v>44</v>
      </c>
      <c r="C54">
        <v>6398</v>
      </c>
      <c r="D54">
        <v>36</v>
      </c>
      <c r="E54">
        <v>29709.61189490126</v>
      </c>
      <c r="F54">
        <v>2</v>
      </c>
      <c r="G54" t="s">
        <v>232</v>
      </c>
      <c r="H54" t="s">
        <v>33</v>
      </c>
      <c r="I54" t="s">
        <v>34</v>
      </c>
      <c r="J54" t="s">
        <v>167</v>
      </c>
      <c r="K54" t="s">
        <v>36</v>
      </c>
      <c r="L54" t="s">
        <v>37</v>
      </c>
      <c r="M54" t="s">
        <v>233</v>
      </c>
      <c r="N54" t="s">
        <v>250</v>
      </c>
      <c r="R54">
        <v>0</v>
      </c>
      <c r="S54" t="s">
        <v>51</v>
      </c>
      <c r="T54" t="s">
        <v>40</v>
      </c>
      <c r="U54">
        <v>0</v>
      </c>
      <c r="V54">
        <v>46</v>
      </c>
      <c r="W54" t="s">
        <v>52</v>
      </c>
      <c r="X54" t="s">
        <v>42</v>
      </c>
      <c r="AB54" t="s">
        <v>43</v>
      </c>
      <c r="AC54" t="s">
        <v>74</v>
      </c>
      <c r="AD54" t="s">
        <v>45</v>
      </c>
      <c r="AE54">
        <v>0</v>
      </c>
      <c r="AG54">
        <v>0</v>
      </c>
      <c r="AI54" t="s">
        <v>234</v>
      </c>
      <c r="AJ54" t="s">
        <v>47</v>
      </c>
    </row>
    <row r="55" spans="1:36" hidden="1" x14ac:dyDescent="0.25">
      <c r="A55">
        <v>1022</v>
      </c>
      <c r="B55">
        <v>44</v>
      </c>
      <c r="C55">
        <v>5893</v>
      </c>
      <c r="D55">
        <v>42</v>
      </c>
      <c r="E55">
        <v>56381.632575827418</v>
      </c>
      <c r="F55">
        <v>4</v>
      </c>
      <c r="G55" t="s">
        <v>239</v>
      </c>
      <c r="H55" t="s">
        <v>33</v>
      </c>
      <c r="I55" t="s">
        <v>34</v>
      </c>
      <c r="J55" t="s">
        <v>135</v>
      </c>
      <c r="K55" t="s">
        <v>36</v>
      </c>
      <c r="L55" t="s">
        <v>37</v>
      </c>
      <c r="M55" t="s">
        <v>240</v>
      </c>
      <c r="N55" t="s">
        <v>250</v>
      </c>
      <c r="R55">
        <v>1</v>
      </c>
      <c r="S55" t="s">
        <v>51</v>
      </c>
      <c r="T55" t="s">
        <v>40</v>
      </c>
      <c r="U55">
        <v>0</v>
      </c>
      <c r="V55">
        <v>49</v>
      </c>
      <c r="W55" t="s">
        <v>52</v>
      </c>
      <c r="X55" t="s">
        <v>42</v>
      </c>
      <c r="AB55" t="s">
        <v>43</v>
      </c>
      <c r="AC55" t="s">
        <v>53</v>
      </c>
      <c r="AD55" t="s">
        <v>45</v>
      </c>
      <c r="AE55">
        <v>0</v>
      </c>
      <c r="AG55">
        <v>0</v>
      </c>
      <c r="AI55" t="s">
        <v>241</v>
      </c>
      <c r="AJ55" t="s">
        <v>47</v>
      </c>
    </row>
  </sheetData>
  <autoFilter ref="A1:AJ55" xr:uid="{00000000-0001-0000-0000-000000000000}">
    <filterColumn colId="22">
      <filters>
        <filter val="BIKANG"/>
      </filters>
    </filterColumn>
    <sortState xmlns:xlrd2="http://schemas.microsoft.com/office/spreadsheetml/2017/richdata2" ref="A2:AJ12">
      <sortCondition ref="N1:N5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2A0E-275B-4537-9F5B-67BBEBE628DA}">
  <dimension ref="A1:D5"/>
  <sheetViews>
    <sheetView tabSelected="1" workbookViewId="0">
      <selection activeCell="D5" sqref="D5"/>
    </sheetView>
  </sheetViews>
  <sheetFormatPr defaultRowHeight="12.5" x14ac:dyDescent="0.25"/>
  <cols>
    <col min="4" max="4" width="9.36328125" bestFit="1" customWidth="1"/>
  </cols>
  <sheetData>
    <row r="1" spans="1:4" x14ac:dyDescent="0.25">
      <c r="A1" t="s">
        <v>256</v>
      </c>
      <c r="B1" t="s">
        <v>257</v>
      </c>
      <c r="C1" t="s">
        <v>258</v>
      </c>
    </row>
    <row r="2" spans="1:4" x14ac:dyDescent="0.25">
      <c r="A2" t="s">
        <v>259</v>
      </c>
      <c r="B2">
        <v>175</v>
      </c>
      <c r="C2">
        <v>42</v>
      </c>
      <c r="D2" s="1">
        <f>B2/(B2+C2)*100</f>
        <v>80.645161290322577</v>
      </c>
    </row>
    <row r="3" spans="1:4" x14ac:dyDescent="0.25">
      <c r="A3" t="s">
        <v>260</v>
      </c>
      <c r="B3">
        <v>381</v>
      </c>
      <c r="C3">
        <v>25</v>
      </c>
      <c r="D3" s="1">
        <f t="shared" ref="D3:D5" si="0">B3/(B3+C3)*100</f>
        <v>93.842364532019701</v>
      </c>
    </row>
    <row r="4" spans="1:4" x14ac:dyDescent="0.25">
      <c r="A4" t="s">
        <v>261</v>
      </c>
      <c r="B4">
        <v>390</v>
      </c>
      <c r="C4">
        <v>50</v>
      </c>
      <c r="D4" s="1">
        <f t="shared" si="0"/>
        <v>88.63636363636364</v>
      </c>
    </row>
    <row r="5" spans="1:4" x14ac:dyDescent="0.25">
      <c r="A5" t="s">
        <v>262</v>
      </c>
      <c r="B5">
        <v>222</v>
      </c>
      <c r="C5">
        <v>10</v>
      </c>
      <c r="D5" s="1">
        <f>B5/(B5+C5)*100</f>
        <v>95.689655172413794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slssubsls1905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nsyifa 20</cp:lastModifiedBy>
  <cp:revision>0</cp:revision>
  <dcterms:modified xsi:type="dcterms:W3CDTF">2026-07-14T09:12:27Z</dcterms:modified>
</cp:coreProperties>
</file>